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Yearly Projection" sheetId="2" state="visible" r:id="rId2"/>
    <sheet name="Human Scaling" sheetId="3" state="visible" r:id="rId3"/>
    <sheet name="Seasonality" sheetId="4" state="visible" r:id="rId4"/>
    <sheet name="Scenarios" sheetId="5" state="visible" r:id="rId5"/>
    <sheet name="Referr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9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4" fontId="2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30" customWidth="1" min="4" max="4"/>
  </cols>
  <sheetData>
    <row r="1">
      <c r="A1" s="1" t="inlineStr">
        <is>
          <t>PRICING ASSUMPTIONS</t>
        </is>
      </c>
    </row>
    <row r="3">
      <c r="A3" s="2" t="inlineStr">
        <is>
          <t>Tier</t>
        </is>
      </c>
      <c r="B3" s="2" t="inlineStr">
        <is>
          <t>Price</t>
        </is>
      </c>
      <c r="C3" s="2" t="inlineStr">
        <is>
          <t>Unit</t>
        </is>
      </c>
    </row>
    <row r="4">
      <c r="A4" t="inlineStr">
        <is>
          <t>Day Pass</t>
        </is>
      </c>
      <c r="B4" t="n">
        <v>2</v>
      </c>
      <c r="C4" t="inlineStr">
        <is>
          <t>per day</t>
        </is>
      </c>
    </row>
    <row r="5">
      <c r="A5" t="inlineStr">
        <is>
          <t>Monthly Subscription</t>
        </is>
      </c>
      <c r="B5" t="n">
        <v>20</v>
      </c>
      <c r="C5" t="inlineStr">
        <is>
          <t>per month</t>
        </is>
      </c>
    </row>
    <row r="6">
      <c r="A6" t="inlineStr">
        <is>
          <t>Annual Subscription</t>
        </is>
      </c>
      <c r="B6" t="n">
        <v>120</v>
      </c>
      <c r="C6" t="inlineStr">
        <is>
          <t>per year</t>
        </is>
      </c>
    </row>
    <row r="8">
      <c r="A8" s="1" t="inlineStr">
        <is>
          <t>LLM &amp; INFRASTRUCTURE COSTS</t>
        </is>
      </c>
    </row>
    <row r="10">
      <c r="A10" s="2" t="inlineStr">
        <is>
          <t>Item</t>
        </is>
      </c>
      <c r="B10" s="2" t="inlineStr">
        <is>
          <t>Value</t>
        </is>
      </c>
      <c r="C10" s="2" t="inlineStr">
        <is>
          <t>Unit</t>
        </is>
      </c>
    </row>
    <row r="11">
      <c r="A11" t="inlineStr">
        <is>
          <t>LLM Cost per Chat</t>
        </is>
      </c>
      <c r="B11" t="n">
        <v>0.003</v>
      </c>
      <c r="C11" t="inlineStr">
        <is>
          <t>USD</t>
        </is>
      </c>
    </row>
    <row r="12">
      <c r="A12" t="inlineStr">
        <is>
          <t>Avg Chats per Day Pass</t>
        </is>
      </c>
      <c r="B12" t="n">
        <v>20</v>
      </c>
      <c r="C12" t="inlineStr">
        <is>
          <t>chats</t>
        </is>
      </c>
    </row>
    <row r="13">
      <c r="A13" t="inlineStr">
        <is>
          <t>Avg Chats per Subscriber/Month</t>
        </is>
      </c>
      <c r="B13" t="n">
        <v>60</v>
      </c>
      <c r="C13" t="inlineStr">
        <is>
          <t>chats</t>
        </is>
      </c>
    </row>
    <row r="14">
      <c r="A14" t="inlineStr">
        <is>
          <t>Infrastructure Cost/Month (Base)</t>
        </is>
      </c>
      <c r="B14" t="n">
        <v>500</v>
      </c>
      <c r="C14" t="inlineStr">
        <is>
          <t>USD</t>
        </is>
      </c>
    </row>
    <row r="15">
      <c r="A15" t="inlineStr">
        <is>
          <t>Infrastructure Cost per 10k Users</t>
        </is>
      </c>
      <c r="B15" t="n">
        <v>200</v>
      </c>
      <c r="C15" t="inlineStr">
        <is>
          <t>USD</t>
        </is>
      </c>
    </row>
    <row r="16">
      <c r="A16" t="inlineStr">
        <is>
          <t>Payment Processing Fee</t>
        </is>
      </c>
      <c r="B16" s="3" t="n">
        <v>0.03</v>
      </c>
      <c r="C16" t="inlineStr">
        <is>
          <t>% of revenue</t>
        </is>
      </c>
    </row>
    <row r="18">
      <c r="A18" s="1" t="inlineStr">
        <is>
          <t>HUMAN &amp; OPERATIONAL COSTS</t>
        </is>
      </c>
    </row>
    <row r="20">
      <c r="A20" s="2" t="inlineStr">
        <is>
          <t>Role</t>
        </is>
      </c>
      <c r="B20" s="2" t="inlineStr">
        <is>
          <t>Monthly Cost (USD)</t>
        </is>
      </c>
      <c r="C20" s="2" t="inlineStr">
        <is>
          <t>Needed From (Users)</t>
        </is>
      </c>
      <c r="D20" s="2" t="inlineStr">
        <is>
          <t>Notes</t>
        </is>
      </c>
    </row>
    <row r="21">
      <c r="A21" t="inlineStr">
        <is>
          <t>Customer Support (Part-time)</t>
        </is>
      </c>
      <c r="B21" s="4" t="n">
        <v>1500</v>
      </c>
      <c r="C21" s="5" t="n">
        <v>5000</v>
      </c>
      <c r="D21" t="inlineStr">
        <is>
          <t>Handle tickets, basic queries</t>
        </is>
      </c>
    </row>
    <row r="22">
      <c r="A22" t="inlineStr">
        <is>
          <t>Customer Support (Full-time)</t>
        </is>
      </c>
      <c r="B22" s="4" t="n">
        <v>4000</v>
      </c>
      <c r="C22" s="5" t="n">
        <v>20000</v>
      </c>
      <c r="D22" t="inlineStr">
        <is>
          <t>Dedicated support staff</t>
        </is>
      </c>
    </row>
    <row r="23">
      <c r="A23" t="inlineStr">
        <is>
          <t>Content/Marketing (Part-time)</t>
        </is>
      </c>
      <c r="B23" s="4" t="n">
        <v>2000</v>
      </c>
      <c r="C23" s="5" t="n">
        <v>10000</v>
      </c>
      <c r="D23" t="inlineStr">
        <is>
          <t>SEO, blog posts, social</t>
        </is>
      </c>
    </row>
    <row r="24">
      <c r="A24" t="inlineStr">
        <is>
          <t>Content/Marketing (Full-time)</t>
        </is>
      </c>
      <c r="B24" s="4" t="n">
        <v>5000</v>
      </c>
      <c r="C24" s="5" t="n">
        <v>30000</v>
      </c>
      <c r="D24" t="inlineStr">
        <is>
          <t>Full marketing ops</t>
        </is>
      </c>
    </row>
    <row r="25">
      <c r="A25" t="inlineStr">
        <is>
          <t>Developer (Part-time/Contract)</t>
        </is>
      </c>
      <c r="B25" s="4" t="n">
        <v>3000</v>
      </c>
      <c r="C25" s="5" t="n">
        <v>10000</v>
      </c>
      <c r="D25" t="inlineStr">
        <is>
          <t>Bug fixes, small features</t>
        </is>
      </c>
    </row>
    <row r="26">
      <c r="A26" t="inlineStr">
        <is>
          <t>Developer (Full-time)</t>
        </is>
      </c>
      <c r="B26" s="4" t="n">
        <v>8000</v>
      </c>
      <c r="C26" s="5" t="n">
        <v>40000</v>
      </c>
      <c r="D26" t="inlineStr">
        <is>
          <t>Full-time dev work</t>
        </is>
      </c>
    </row>
    <row r="27">
      <c r="A27" t="inlineStr">
        <is>
          <t>Accounting/Admin (Part-time)</t>
        </is>
      </c>
      <c r="B27" s="4" t="n">
        <v>500</v>
      </c>
      <c r="C27" s="5" t="n">
        <v>5000</v>
      </c>
      <c r="D27" t="inlineStr">
        <is>
          <t>Invoices, bookkeeping</t>
        </is>
      </c>
    </row>
    <row r="28">
      <c r="A28" t="inlineStr">
        <is>
          <t>Legal/Compliance (Retainer)</t>
        </is>
      </c>
      <c r="B28" s="4" t="n">
        <v>500</v>
      </c>
      <c r="C28" s="5" t="n">
        <v>20000</v>
      </c>
      <c r="D28" t="inlineStr">
        <is>
          <t>TOS, privacy, disputes</t>
        </is>
      </c>
    </row>
    <row r="31">
      <c r="A31" s="1" t="inlineStr">
        <is>
          <t>CONVERSION ASSUMPTIONS</t>
        </is>
      </c>
    </row>
    <row r="33">
      <c r="A33" s="2" t="inlineStr">
        <is>
          <t>Metric</t>
        </is>
      </c>
      <c r="B33" s="2" t="inlineStr">
        <is>
          <t>Value</t>
        </is>
      </c>
    </row>
    <row r="34">
      <c r="A34" t="inlineStr">
        <is>
          <t>Monthly Sub Conversion %</t>
        </is>
      </c>
      <c r="B34" s="3" t="n">
        <v>0.015</v>
      </c>
    </row>
    <row r="35">
      <c r="A35" t="inlineStr">
        <is>
          <t>Annual Sub Conversion %</t>
        </is>
      </c>
      <c r="B35" s="3" t="n">
        <v>0.035</v>
      </c>
    </row>
    <row r="36">
      <c r="A36" t="inlineStr">
        <is>
          <t>Day Pass Purchase % (of users/month)</t>
        </is>
      </c>
      <c r="B36" s="3" t="n">
        <v>0.1</v>
      </c>
    </row>
    <row r="38">
      <c r="A38" s="1" t="inlineStr">
        <is>
          <t>MARKET SIZE (SINGAPORE)</t>
        </is>
      </c>
    </row>
    <row r="40">
      <c r="A40" s="2" t="inlineStr">
        <is>
          <t>Segment</t>
        </is>
      </c>
      <c r="B40" s="2" t="inlineStr">
        <is>
          <t>Annual Volume</t>
        </is>
      </c>
      <c r="C40" s="2" t="inlineStr">
        <is>
          <t>Capture Rate</t>
        </is>
      </c>
      <c r="D40" s="2" t="inlineStr">
        <is>
          <t>Captured Users</t>
        </is>
      </c>
    </row>
    <row r="41">
      <c r="A41" t="inlineStr">
        <is>
          <t>Car Buyers</t>
        </is>
      </c>
      <c r="B41" s="5" t="n">
        <v>200000</v>
      </c>
      <c r="C41" s="3" t="n">
        <v>0.25</v>
      </c>
      <c r="D41" s="5">
        <f>B41*C41</f>
        <v/>
      </c>
    </row>
    <row r="42">
      <c r="A42" t="inlineStr">
        <is>
          <t>Insurance Buyers</t>
        </is>
      </c>
      <c r="B42" s="5" t="n">
        <v>1000000</v>
      </c>
      <c r="C42" s="3" t="n">
        <v>0.05</v>
      </c>
      <c r="D42" s="5">
        <f>B42*C42</f>
        <v/>
      </c>
    </row>
    <row r="43">
      <c r="A43" t="inlineStr">
        <is>
          <t>BTO Applicants</t>
        </is>
      </c>
      <c r="B43" s="5" t="n">
        <v>100000</v>
      </c>
      <c r="C43" s="3" t="n">
        <v>0.15</v>
      </c>
      <c r="D43" s="5">
        <f>B43*C43</f>
        <v/>
      </c>
    </row>
    <row r="44">
      <c r="A44" t="inlineStr">
        <is>
          <t>General Seasonal</t>
        </is>
      </c>
      <c r="B44" s="5" t="n">
        <v>500000</v>
      </c>
      <c r="C44" s="3" t="n">
        <v>0.1</v>
      </c>
      <c r="D44" s="5">
        <f>B44*C44</f>
        <v/>
      </c>
    </row>
    <row r="45">
      <c r="A45" s="2" t="inlineStr">
        <is>
          <t>TOTAL DAY PASS USERS</t>
        </is>
      </c>
      <c r="B45" s="5">
        <f>SUM(B41:B44)</f>
        <v/>
      </c>
      <c r="D45" s="5">
        <f>SUM(D41:D44)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YEAR BY YEAR PROJECTION</t>
        </is>
      </c>
    </row>
    <row r="3">
      <c r="A3" s="2" t="inlineStr">
        <is>
          <t>Metric</t>
        </is>
      </c>
      <c r="B3" s="2" t="inlineStr">
        <is>
          <t>Year 1</t>
        </is>
      </c>
      <c r="C3" s="2" t="inlineStr">
        <is>
          <t>Year 2</t>
        </is>
      </c>
      <c r="D3" s="2" t="inlineStr">
        <is>
          <t>Year 3</t>
        </is>
      </c>
      <c r="E3" s="2" t="inlineStr">
        <is>
          <t>Year 4</t>
        </is>
      </c>
      <c r="F3" s="2" t="inlineStr">
        <is>
          <t>Year 5</t>
        </is>
      </c>
    </row>
    <row r="4">
      <c r="A4" t="inlineStr">
        <is>
          <t>Market Penetration %</t>
        </is>
      </c>
      <c r="B4" s="3" t="n">
        <v>0.05</v>
      </c>
      <c r="C4" s="3" t="n">
        <v>0.15</v>
      </c>
      <c r="D4" s="3" t="n">
        <v>0.35</v>
      </c>
      <c r="E4" s="3" t="n">
        <v>0.65</v>
      </c>
      <c r="F4" s="3" t="n">
        <v>1</v>
      </c>
    </row>
    <row r="5">
      <c r="A5" t="inlineStr">
        <is>
          <t>Registered User Base</t>
        </is>
      </c>
      <c r="B5" s="5" t="n">
        <v>2000</v>
      </c>
      <c r="C5" s="5" t="n">
        <v>8000</v>
      </c>
      <c r="D5" s="5" t="n">
        <v>20000</v>
      </c>
      <c r="E5" s="5" t="n">
        <v>40000</v>
      </c>
      <c r="F5" s="5" t="n">
        <v>60000</v>
      </c>
    </row>
    <row r="7">
      <c r="A7" s="2" t="inlineStr">
        <is>
          <t>DAY PASS USERS</t>
        </is>
      </c>
    </row>
    <row r="8">
      <c r="A8" t="inlineStr">
        <is>
          <t>Car Buyers</t>
        </is>
      </c>
      <c r="B8" s="5">
        <f>Assumptions!$D$41*B$4</f>
        <v/>
      </c>
      <c r="C8" s="5">
        <f>Assumptions!$D$41*C$4</f>
        <v/>
      </c>
      <c r="D8" s="5">
        <f>Assumptions!$D$41*D$4</f>
        <v/>
      </c>
      <c r="E8" s="5">
        <f>Assumptions!$D$41*E$4</f>
        <v/>
      </c>
      <c r="F8" s="5">
        <f>Assumptions!$D$41*F$4</f>
        <v/>
      </c>
    </row>
    <row r="9">
      <c r="A9" t="inlineStr">
        <is>
          <t>Insurance Buyers</t>
        </is>
      </c>
      <c r="B9" s="5">
        <f>Assumptions!$D$42*B$4</f>
        <v/>
      </c>
      <c r="C9" s="5">
        <f>Assumptions!$D$42*C$4</f>
        <v/>
      </c>
      <c r="D9" s="5">
        <f>Assumptions!$D$42*D$4</f>
        <v/>
      </c>
      <c r="E9" s="5">
        <f>Assumptions!$D$42*E$4</f>
        <v/>
      </c>
      <c r="F9" s="5">
        <f>Assumptions!$D$42*F$4</f>
        <v/>
      </c>
    </row>
    <row r="10">
      <c r="A10" t="inlineStr">
        <is>
          <t>BTO Applicants</t>
        </is>
      </c>
      <c r="B10" s="5">
        <f>Assumptions!$D$43*B$4</f>
        <v/>
      </c>
      <c r="C10" s="5">
        <f>Assumptions!$D$43*C$4</f>
        <v/>
      </c>
      <c r="D10" s="5">
        <f>Assumptions!$D$43*D$4</f>
        <v/>
      </c>
      <c r="E10" s="5">
        <f>Assumptions!$D$43*E$4</f>
        <v/>
      </c>
      <c r="F10" s="5">
        <f>Assumptions!$D$43*F$4</f>
        <v/>
      </c>
    </row>
    <row r="11">
      <c r="A11" t="inlineStr">
        <is>
          <t>General Seasonal</t>
        </is>
      </c>
      <c r="B11" s="5">
        <f>Assumptions!$D$44*B$4</f>
        <v/>
      </c>
      <c r="C11" s="5">
        <f>Assumptions!$D$44*C$4</f>
        <v/>
      </c>
      <c r="D11" s="5">
        <f>Assumptions!$D$44*D$4</f>
        <v/>
      </c>
      <c r="E11" s="5">
        <f>Assumptions!$D$44*E$4</f>
        <v/>
      </c>
      <c r="F11" s="5">
        <f>Assumptions!$D$44*F$4</f>
        <v/>
      </c>
    </row>
    <row r="12">
      <c r="A12" s="2" t="inlineStr">
        <is>
          <t>Total Day Pass Users</t>
        </is>
      </c>
      <c r="B12" s="5">
        <f>SUM(B8:B11)</f>
        <v/>
      </c>
      <c r="C12" s="5">
        <f>SUM(C8:C11)</f>
        <v/>
      </c>
      <c r="D12" s="5">
        <f>SUM(D8:D11)</f>
        <v/>
      </c>
      <c r="E12" s="5">
        <f>SUM(E8:E11)</f>
        <v/>
      </c>
      <c r="F12" s="5">
        <f>SUM(F8:F11)</f>
        <v/>
      </c>
    </row>
    <row r="14">
      <c r="A14" s="2" t="inlineStr">
        <is>
          <t>SUBSCRIBERS</t>
        </is>
      </c>
    </row>
    <row r="15">
      <c r="A15" t="inlineStr">
        <is>
          <t>Monthly Subscribers</t>
        </is>
      </c>
      <c r="B15" s="5">
        <f>B5*Assumptions!$B$34</f>
        <v/>
      </c>
      <c r="C15" s="5">
        <f>C5*Assumptions!$B$34</f>
        <v/>
      </c>
      <c r="D15" s="5">
        <f>D5*Assumptions!$B$34</f>
        <v/>
      </c>
      <c r="E15" s="5">
        <f>E5*Assumptions!$B$34</f>
        <v/>
      </c>
      <c r="F15" s="5">
        <f>F5*Assumptions!$B$34</f>
        <v/>
      </c>
    </row>
    <row r="16">
      <c r="A16" t="inlineStr">
        <is>
          <t>Annual Subscribers</t>
        </is>
      </c>
      <c r="B16" s="5">
        <f>B5*Assumptions!$B$35</f>
        <v/>
      </c>
      <c r="C16" s="5">
        <f>C5*Assumptions!$B$35</f>
        <v/>
      </c>
      <c r="D16" s="5">
        <f>D5*Assumptions!$B$35</f>
        <v/>
      </c>
      <c r="E16" s="5">
        <f>E5*Assumptions!$B$35</f>
        <v/>
      </c>
      <c r="F16" s="5">
        <f>F5*Assumptions!$B$35</f>
        <v/>
      </c>
    </row>
    <row r="17">
      <c r="A17" s="2" t="inlineStr">
        <is>
          <t>Total Subscribers</t>
        </is>
      </c>
      <c r="B17" s="5">
        <f>B15+B16</f>
        <v/>
      </c>
      <c r="C17" s="5">
        <f>C15+C16</f>
        <v/>
      </c>
      <c r="D17" s="5">
        <f>D15+D16</f>
        <v/>
      </c>
      <c r="E17" s="5">
        <f>E15+E16</f>
        <v/>
      </c>
      <c r="F17" s="5">
        <f>F15+F16</f>
        <v/>
      </c>
    </row>
    <row r="19">
      <c r="A19" s="2" t="inlineStr">
        <is>
          <t>REVENUE</t>
        </is>
      </c>
    </row>
    <row r="20">
      <c r="A20" t="inlineStr">
        <is>
          <t>Day Pass Revenue</t>
        </is>
      </c>
      <c r="B20" s="4">
        <f>B12*Assumptions!$B$4</f>
        <v/>
      </c>
      <c r="C20" s="4">
        <f>C12*Assumptions!$B$4</f>
        <v/>
      </c>
      <c r="D20" s="4">
        <f>D12*Assumptions!$B$4</f>
        <v/>
      </c>
      <c r="E20" s="4">
        <f>E12*Assumptions!$B$4</f>
        <v/>
      </c>
      <c r="F20" s="4">
        <f>F12*Assumptions!$B$4</f>
        <v/>
      </c>
    </row>
    <row r="21">
      <c r="A21" t="inlineStr">
        <is>
          <t>Monthly Sub Revenue</t>
        </is>
      </c>
      <c r="B21" s="4">
        <f>B15*Assumptions!$B$5*12</f>
        <v/>
      </c>
      <c r="C21" s="4">
        <f>C15*Assumptions!$B$5*12</f>
        <v/>
      </c>
      <c r="D21" s="4">
        <f>D15*Assumptions!$B$5*12</f>
        <v/>
      </c>
      <c r="E21" s="4">
        <f>E15*Assumptions!$B$5*12</f>
        <v/>
      </c>
      <c r="F21" s="4">
        <f>F15*Assumptions!$B$5*12</f>
        <v/>
      </c>
    </row>
    <row r="22">
      <c r="A22" t="inlineStr">
        <is>
          <t>Annual Sub Revenue</t>
        </is>
      </c>
      <c r="B22" s="4">
        <f>B16*Assumptions!$B$6</f>
        <v/>
      </c>
      <c r="C22" s="4">
        <f>C16*Assumptions!$B$6</f>
        <v/>
      </c>
      <c r="D22" s="4">
        <f>D16*Assumptions!$B$6</f>
        <v/>
      </c>
      <c r="E22" s="4">
        <f>E16*Assumptions!$B$6</f>
        <v/>
      </c>
      <c r="F22" s="4">
        <f>F16*Assumptions!$B$6</f>
        <v/>
      </c>
    </row>
    <row r="23">
      <c r="A23" s="2" t="inlineStr">
        <is>
          <t>TOTAL REVENUE</t>
        </is>
      </c>
      <c r="B23" s="4">
        <f>SUM(B20:B22)</f>
        <v/>
      </c>
      <c r="C23" s="4">
        <f>SUM(C20:C22)</f>
        <v/>
      </c>
      <c r="D23" s="4">
        <f>SUM(D20:D22)</f>
        <v/>
      </c>
      <c r="E23" s="4">
        <f>SUM(E20:E22)</f>
        <v/>
      </c>
      <c r="F23" s="4">
        <f>SUM(F20:F22)</f>
        <v/>
      </c>
    </row>
    <row r="25">
      <c r="A25" s="2" t="inlineStr">
        <is>
          <t>COSTS</t>
        </is>
      </c>
    </row>
    <row r="26">
      <c r="A26" t="inlineStr">
        <is>
          <t>LLM Cost (Day Pass)</t>
        </is>
      </c>
      <c r="B26" s="4">
        <f>B12*Assumptions!$B$12*Assumptions!$B$11</f>
        <v/>
      </c>
      <c r="C26" s="4">
        <f>C12*Assumptions!$B$12*Assumptions!$B$11</f>
        <v/>
      </c>
      <c r="D26" s="4">
        <f>D12*Assumptions!$B$12*Assumptions!$B$11</f>
        <v/>
      </c>
      <c r="E26" s="4">
        <f>E12*Assumptions!$B$12*Assumptions!$B$11</f>
        <v/>
      </c>
      <c r="F26" s="4">
        <f>F12*Assumptions!$B$12*Assumptions!$B$11</f>
        <v/>
      </c>
    </row>
    <row r="27">
      <c r="A27" t="inlineStr">
        <is>
          <t>LLM Cost (Subscribers)</t>
        </is>
      </c>
      <c r="B27" s="4">
        <f>B17*Assumptions!$B$13*12*Assumptions!$B$11</f>
        <v/>
      </c>
      <c r="C27" s="4">
        <f>C17*Assumptions!$B$13*12*Assumptions!$B$11</f>
        <v/>
      </c>
      <c r="D27" s="4">
        <f>D17*Assumptions!$B$13*12*Assumptions!$B$11</f>
        <v/>
      </c>
      <c r="E27" s="4">
        <f>E17*Assumptions!$B$13*12*Assumptions!$B$11</f>
        <v/>
      </c>
      <c r="F27" s="4">
        <f>F17*Assumptions!$B$13*12*Assumptions!$B$11</f>
        <v/>
      </c>
    </row>
    <row r="28">
      <c r="A28" t="inlineStr">
        <is>
          <t>Infrastructure Cost</t>
        </is>
      </c>
      <c r="B28" s="4">
        <f>(Assumptions!$B$14*12)+(B5/10000*Assumptions!$B$15*12)</f>
        <v/>
      </c>
      <c r="C28" s="4">
        <f>(Assumptions!$B$14*12)+(C5/10000*Assumptions!$B$15*12)</f>
        <v/>
      </c>
      <c r="D28" s="4">
        <f>(Assumptions!$B$14*12)+(D5/10000*Assumptions!$B$15*12)</f>
        <v/>
      </c>
      <c r="E28" s="4">
        <f>(Assumptions!$B$14*12)+(E5/10000*Assumptions!$B$15*12)</f>
        <v/>
      </c>
      <c r="F28" s="4">
        <f>(Assumptions!$B$14*12)+(F5/10000*Assumptions!$B$15*12)</f>
        <v/>
      </c>
    </row>
    <row r="29">
      <c r="A29" t="inlineStr">
        <is>
          <t>Payment Processing (3%)</t>
        </is>
      </c>
      <c r="B29" s="4">
        <f>B23*Assumptions!$B$16</f>
        <v/>
      </c>
      <c r="C29" s="4">
        <f>C23*Assumptions!$B$16</f>
        <v/>
      </c>
      <c r="D29" s="4">
        <f>D23*Assumptions!$B$16</f>
        <v/>
      </c>
      <c r="E29" s="4">
        <f>E23*Assumptions!$B$16</f>
        <v/>
      </c>
      <c r="F29" s="4">
        <f>F23*Assumptions!$B$16</f>
        <v/>
      </c>
    </row>
    <row r="30">
      <c r="A30" t="inlineStr">
        <is>
          <t>Support (Part-time)</t>
        </is>
      </c>
      <c r="B30" s="4">
        <f>IF(B5&gt;=Assumptions!$C$21,Assumptions!$B$21*12,IF(B5&gt;=Assumptions!$C$21,Assumptions!$B$21*12,0))</f>
        <v/>
      </c>
      <c r="C30" s="4">
        <f>IF(C5&gt;=Assumptions!$C$21,Assumptions!$B$21*12,IF(C5&gt;=Assumptions!$C$21,Assumptions!$B$21*12,0))</f>
        <v/>
      </c>
      <c r="D30" s="4">
        <f>IF(D5&gt;=Assumptions!$C$21,Assumptions!$B$21*12,IF(D5&gt;=Assumptions!$C$21,Assumptions!$B$21*12,0))</f>
        <v/>
      </c>
      <c r="E30" s="4">
        <f>IF(E5&gt;=Assumptions!$C$21,Assumptions!$B$21*12,IF(E5&gt;=Assumptions!$C$21,Assumptions!$B$21*12,0))</f>
        <v/>
      </c>
      <c r="F30" s="4">
        <f>IF(F5&gt;=Assumptions!$C$21,Assumptions!$B$21*12,IF(F5&gt;=Assumptions!$C$21,Assumptions!$B$21*12,0))</f>
        <v/>
      </c>
    </row>
    <row r="31">
      <c r="A31" t="inlineStr">
        <is>
          <t>Marketing (Part-time)</t>
        </is>
      </c>
      <c r="B31" s="4">
        <f>IF(B5&gt;=Assumptions!$C$22,Assumptions!$B$22*12,0)</f>
        <v/>
      </c>
      <c r="C31" s="4">
        <f>IF(C5&gt;=Assumptions!$C$22,Assumptions!$B$22*12,0)</f>
        <v/>
      </c>
      <c r="D31" s="4">
        <f>IF(D5&gt;=Assumptions!$C$22,Assumptions!$B$22*12,0)</f>
        <v/>
      </c>
      <c r="E31" s="4">
        <f>IF(E5&gt;=Assumptions!$C$22,Assumptions!$B$22*12,0)</f>
        <v/>
      </c>
      <c r="F31" s="4">
        <f>IF(F5&gt;=Assumptions!$C$22,Assumptions!$B$22*12,0)</f>
        <v/>
      </c>
    </row>
    <row r="32">
      <c r="A32" t="inlineStr">
        <is>
          <t>Developer (Part-time)</t>
        </is>
      </c>
      <c r="B32" s="4">
        <f>IF(B5&gt;=Assumptions!$C$24,Assumptions!$B$24*12,0)</f>
        <v/>
      </c>
      <c r="C32" s="4">
        <f>IF(C5&gt;=Assumptions!$C$24,Assumptions!$B$24*12,0)</f>
        <v/>
      </c>
      <c r="D32" s="4">
        <f>IF(D5&gt;=Assumptions!$C$24,Assumptions!$B$24*12,0)</f>
        <v/>
      </c>
      <c r="E32" s="4">
        <f>IF(E5&gt;=Assumptions!$C$24,Assumptions!$B$24*12,0)</f>
        <v/>
      </c>
      <c r="F32" s="4">
        <f>IF(F5&gt;=Assumptions!$C$24,Assumptions!$B$24*12,0)</f>
        <v/>
      </c>
    </row>
    <row r="33">
      <c r="A33" t="inlineStr">
        <is>
          <t>Admin/Accounting</t>
        </is>
      </c>
      <c r="B33" s="4">
        <f>IF(B5&gt;=Assumptions!$C$27,Assumptions!$B$27*12,0)</f>
        <v/>
      </c>
      <c r="C33" s="4">
        <f>IF(C5&gt;=Assumptions!$C$27,Assumptions!$B$27*12,0)</f>
        <v/>
      </c>
      <c r="D33" s="4">
        <f>IF(D5&gt;=Assumptions!$C$27,Assumptions!$B$27*12,0)</f>
        <v/>
      </c>
      <c r="E33" s="4">
        <f>IF(E5&gt;=Assumptions!$C$27,Assumptions!$B$27*12,0)</f>
        <v/>
      </c>
      <c r="F33" s="4">
        <f>IF(F5&gt;=Assumptions!$C$27,Assumptions!$B$27*12,0)</f>
        <v/>
      </c>
    </row>
    <row r="34">
      <c r="A34" s="2" t="inlineStr">
        <is>
          <t>TOTAL COSTS</t>
        </is>
      </c>
      <c r="B34" s="4">
        <f>SUM(B26:B33)</f>
        <v/>
      </c>
      <c r="C34" s="4">
        <f>SUM(C26:C33)</f>
        <v/>
      </c>
      <c r="D34" s="4">
        <f>SUM(D26:D33)</f>
        <v/>
      </c>
      <c r="E34" s="4">
        <f>SUM(E26:E33)</f>
        <v/>
      </c>
      <c r="F34" s="4">
        <f>SUM(F26:F33)</f>
        <v/>
      </c>
    </row>
    <row r="36">
      <c r="A36" s="1" t="inlineStr">
        <is>
          <t>NET PROFIT</t>
        </is>
      </c>
      <c r="B36" s="6">
        <f>B23-B34</f>
        <v/>
      </c>
      <c r="C36" s="6">
        <f>C23-C34</f>
        <v/>
      </c>
      <c r="D36" s="6">
        <f>D23-D34</f>
        <v/>
      </c>
      <c r="E36" s="6">
        <f>E23-E34</f>
        <v/>
      </c>
      <c r="F36" s="6">
        <f>F23-F34</f>
        <v/>
      </c>
    </row>
    <row r="37">
      <c r="A37" t="inlineStr">
        <is>
          <t>Profit Margin %</t>
        </is>
      </c>
      <c r="B37" s="3">
        <f>IF(B23&gt;0,B36/B23,0)</f>
        <v/>
      </c>
      <c r="C37" s="3">
        <f>IF(C23&gt;0,C36/C23,0)</f>
        <v/>
      </c>
      <c r="D37" s="3">
        <f>IF(D23&gt;0,D36/D23,0)</f>
        <v/>
      </c>
      <c r="E37" s="3">
        <f>IF(E23&gt;0,E36/E23,0)</f>
        <v/>
      </c>
      <c r="F37" s="3">
        <f>IF(F23&gt;0,F36/F23,0)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HUMAN COST SCALING BY USER BASE</t>
        </is>
      </c>
    </row>
    <row r="3">
      <c r="A3" t="inlineStr">
        <is>
          <t>This sheet shows when you need to hire based on user thresholds</t>
        </is>
      </c>
    </row>
    <row r="5">
      <c r="A5" s="2" t="inlineStr">
        <is>
          <t>Users</t>
        </is>
      </c>
      <c r="B5" s="2" t="inlineStr">
        <is>
          <t>Support</t>
        </is>
      </c>
      <c r="C5" s="2" t="inlineStr">
        <is>
          <t>Marketing</t>
        </is>
      </c>
      <c r="D5" s="2" t="inlineStr">
        <is>
          <t>Dev</t>
        </is>
      </c>
      <c r="E5" s="2" t="inlineStr">
        <is>
          <t>Admin</t>
        </is>
      </c>
      <c r="F5" s="2" t="inlineStr">
        <is>
          <t>Legal</t>
        </is>
      </c>
      <c r="G5" s="2" t="inlineStr">
        <is>
          <t>Total Human Cost/Year</t>
        </is>
      </c>
    </row>
    <row r="6">
      <c r="A6" s="5" t="n">
        <v>1000</v>
      </c>
      <c r="B6" s="4">
        <f>IF(A6&gt;=Assumptions!$C$21,Assumptions!$B$21,IF(A6&gt;=Assumptions!$C$21,Assumptions!$B$21,0))*12</f>
        <v/>
      </c>
      <c r="C6" s="4">
        <f>IF(A6&gt;=Assumptions!$C$22,Assumptions!$B$22,0)*12</f>
        <v/>
      </c>
      <c r="D6" s="4">
        <f>IF(A6&gt;=Assumptions!$C$24,Assumptions!$B$24,0)*12</f>
        <v/>
      </c>
      <c r="E6" s="4">
        <f>IF(A6&gt;=Assumptions!$C$27,Assumptions!$B$27,0)*12</f>
        <v/>
      </c>
      <c r="F6" s="4">
        <f>IF(A6&gt;=Assumptions!$C$28,Assumptions!$B$28,0)*12</f>
        <v/>
      </c>
      <c r="G6" s="4">
        <f>SUM(B6:F6)</f>
        <v/>
      </c>
    </row>
    <row r="7">
      <c r="A7" s="5" t="n">
        <v>5000</v>
      </c>
      <c r="B7" s="4">
        <f>IF(A7&gt;=Assumptions!$C$21,Assumptions!$B$21,IF(A7&gt;=Assumptions!$C$21,Assumptions!$B$21,0))*12</f>
        <v/>
      </c>
      <c r="C7" s="4">
        <f>IF(A7&gt;=Assumptions!$C$22,Assumptions!$B$22,0)*12</f>
        <v/>
      </c>
      <c r="D7" s="4">
        <f>IF(A7&gt;=Assumptions!$C$24,Assumptions!$B$24,0)*12</f>
        <v/>
      </c>
      <c r="E7" s="4">
        <f>IF(A7&gt;=Assumptions!$C$27,Assumptions!$B$27,0)*12</f>
        <v/>
      </c>
      <c r="F7" s="4">
        <f>IF(A7&gt;=Assumptions!$C$28,Assumptions!$B$28,0)*12</f>
        <v/>
      </c>
      <c r="G7" s="4">
        <f>SUM(B7:F7)</f>
        <v/>
      </c>
    </row>
    <row r="8">
      <c r="A8" s="5" t="n">
        <v>10000</v>
      </c>
      <c r="B8" s="4">
        <f>IF(A8&gt;=Assumptions!$C$21,Assumptions!$B$21,IF(A8&gt;=Assumptions!$C$21,Assumptions!$B$21,0))*12</f>
        <v/>
      </c>
      <c r="C8" s="4">
        <f>IF(A8&gt;=Assumptions!$C$22,Assumptions!$B$22,0)*12</f>
        <v/>
      </c>
      <c r="D8" s="4">
        <f>IF(A8&gt;=Assumptions!$C$24,Assumptions!$B$24,0)*12</f>
        <v/>
      </c>
      <c r="E8" s="4">
        <f>IF(A8&gt;=Assumptions!$C$27,Assumptions!$B$27,0)*12</f>
        <v/>
      </c>
      <c r="F8" s="4">
        <f>IF(A8&gt;=Assumptions!$C$28,Assumptions!$B$28,0)*12</f>
        <v/>
      </c>
      <c r="G8" s="4">
        <f>SUM(B8:F8)</f>
        <v/>
      </c>
    </row>
    <row r="9">
      <c r="A9" s="5" t="n">
        <v>20000</v>
      </c>
      <c r="B9" s="4">
        <f>IF(A9&gt;=Assumptions!$C$21,Assumptions!$B$21,IF(A9&gt;=Assumptions!$C$21,Assumptions!$B$21,0))*12</f>
        <v/>
      </c>
      <c r="C9" s="4">
        <f>IF(A9&gt;=Assumptions!$C$22,Assumptions!$B$22,0)*12</f>
        <v/>
      </c>
      <c r="D9" s="4">
        <f>IF(A9&gt;=Assumptions!$C$24,Assumptions!$B$24,0)*12</f>
        <v/>
      </c>
      <c r="E9" s="4">
        <f>IF(A9&gt;=Assumptions!$C$27,Assumptions!$B$27,0)*12</f>
        <v/>
      </c>
      <c r="F9" s="4">
        <f>IF(A9&gt;=Assumptions!$C$28,Assumptions!$B$28,0)*12</f>
        <v/>
      </c>
      <c r="G9" s="4">
        <f>SUM(B9:F9)</f>
        <v/>
      </c>
    </row>
    <row r="10">
      <c r="A10" s="5" t="n">
        <v>40000</v>
      </c>
      <c r="B10" s="4">
        <f>IF(A10&gt;=Assumptions!$C$21,Assumptions!$B$21,IF(A10&gt;=Assumptions!$C$21,Assumptions!$B$21,0))*12</f>
        <v/>
      </c>
      <c r="C10" s="4">
        <f>IF(A10&gt;=Assumptions!$C$22,Assumptions!$B$22,0)*12</f>
        <v/>
      </c>
      <c r="D10" s="4">
        <f>IF(A10&gt;=Assumptions!$C$24,Assumptions!$B$24,0)*12</f>
        <v/>
      </c>
      <c r="E10" s="4">
        <f>IF(A10&gt;=Assumptions!$C$27,Assumptions!$B$27,0)*12</f>
        <v/>
      </c>
      <c r="F10" s="4">
        <f>IF(A10&gt;=Assumptions!$C$28,Assumptions!$B$28,0)*12</f>
        <v/>
      </c>
      <c r="G10" s="4">
        <f>SUM(B10:F10)</f>
        <v/>
      </c>
    </row>
    <row r="11">
      <c r="A11" s="5" t="n">
        <v>60000</v>
      </c>
      <c r="B11" s="4">
        <f>IF(A11&gt;=Assumptions!$C$21,Assumptions!$B$21,IF(A11&gt;=Assumptions!$C$21,Assumptions!$B$21,0))*12</f>
        <v/>
      </c>
      <c r="C11" s="4">
        <f>IF(A11&gt;=Assumptions!$C$22,Assumptions!$B$22,0)*12</f>
        <v/>
      </c>
      <c r="D11" s="4">
        <f>IF(A11&gt;=Assumptions!$C$24,Assumptions!$B$24,0)*12</f>
        <v/>
      </c>
      <c r="E11" s="4">
        <f>IF(A11&gt;=Assumptions!$C$27,Assumptions!$B$27,0)*12</f>
        <v/>
      </c>
      <c r="F11" s="4">
        <f>IF(A11&gt;=Assumptions!$C$28,Assumptions!$B$28,0)*12</f>
        <v/>
      </c>
      <c r="G11" s="4">
        <f>SUM(B11:F11)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8" customWidth="1" min="3" max="3"/>
    <col width="15" customWidth="1" min="4" max="4"/>
    <col width="15" customWidth="1" min="5" max="5"/>
    <col width="18" customWidth="1" min="7" max="7"/>
  </cols>
  <sheetData>
    <row r="1">
      <c r="A1" s="1" t="inlineStr">
        <is>
          <t>MONTHLY SEASONALITY (MATURE YEAR)</t>
        </is>
      </c>
    </row>
    <row r="3">
      <c r="A3" s="2" t="inlineStr">
        <is>
          <t>Month</t>
        </is>
      </c>
      <c r="B3" s="2" t="inlineStr">
        <is>
          <t>Events</t>
        </is>
      </c>
      <c r="C3" s="2" t="inlineStr">
        <is>
          <t>Traffic Multiplier</t>
        </is>
      </c>
      <c r="D3" s="2" t="inlineStr">
        <is>
          <t>Day Passes</t>
        </is>
      </c>
      <c r="E3" s="2" t="inlineStr">
        <is>
          <t>Revenue</t>
        </is>
      </c>
      <c r="G3" s="2" t="inlineStr">
        <is>
          <t>Base Monthly (Yr 5)</t>
        </is>
      </c>
    </row>
    <row r="4">
      <c r="A4" t="inlineStr">
        <is>
          <t>Jan</t>
        </is>
      </c>
      <c r="B4" t="inlineStr">
        <is>
          <t>New Year + 2x COE</t>
        </is>
      </c>
      <c r="C4" s="7" t="n">
        <v>1.15</v>
      </c>
      <c r="D4" s="5">
        <f>$G$4*C4</f>
        <v/>
      </c>
      <c r="E4" s="4">
        <f>D4*Assumptions!$B$4</f>
        <v/>
      </c>
      <c r="G4" s="5">
        <f>'Yearly Projection'!F12/12</f>
        <v/>
      </c>
    </row>
    <row r="5">
      <c r="A5" t="inlineStr">
        <is>
          <t>Feb</t>
        </is>
      </c>
      <c r="B5" t="inlineStr">
        <is>
          <t>CNY + BTO + 2x COE</t>
        </is>
      </c>
      <c r="C5" s="7" t="n">
        <v>1.25</v>
      </c>
      <c r="D5" s="5">
        <f>$G$4*C5</f>
        <v/>
      </c>
      <c r="E5" s="4">
        <f>D5*Assumptions!$B$4</f>
        <v/>
      </c>
    </row>
    <row r="6">
      <c r="A6" t="inlineStr">
        <is>
          <t>Mar</t>
        </is>
      </c>
      <c r="B6" t="inlineStr">
        <is>
          <t>Tax Season + Condos + 2x COE</t>
        </is>
      </c>
      <c r="C6" s="7" t="n">
        <v>1.15</v>
      </c>
      <c r="D6" s="5">
        <f>$G$4*C6</f>
        <v/>
      </c>
      <c r="E6" s="4">
        <f>D6*Assumptions!$B$4</f>
        <v/>
      </c>
    </row>
    <row r="7">
      <c r="A7" t="inlineStr">
        <is>
          <t>Apr</t>
        </is>
      </c>
      <c r="B7" t="inlineStr">
        <is>
          <t>Tax Deadline + Condos + 2x COE</t>
        </is>
      </c>
      <c r="C7" s="7" t="n">
        <v>1.05</v>
      </c>
      <c r="D7" s="5">
        <f>$G$4*C7</f>
        <v/>
      </c>
      <c r="E7" s="4">
        <f>D7*Assumptions!$B$4</f>
        <v/>
      </c>
    </row>
    <row r="8">
      <c r="A8" t="inlineStr">
        <is>
          <t>May</t>
        </is>
      </c>
      <c r="B8" t="inlineStr">
        <is>
          <t>BTO + 2x COE</t>
        </is>
      </c>
      <c r="C8" s="7" t="n">
        <v>1.05</v>
      </c>
      <c r="D8" s="5">
        <f>$G$4*C8</f>
        <v/>
      </c>
      <c r="E8" s="4">
        <f>D8*Assumptions!$B$4</f>
        <v/>
      </c>
    </row>
    <row r="9">
      <c r="A9" t="inlineStr">
        <is>
          <t>Jun</t>
        </is>
      </c>
      <c r="B9" t="inlineStr">
        <is>
          <t>Mid-Year + 2x COE</t>
        </is>
      </c>
      <c r="C9" s="7" t="n">
        <v>0.85</v>
      </c>
      <c r="D9" s="5">
        <f>$G$4*C9</f>
        <v/>
      </c>
      <c r="E9" s="4">
        <f>D9*Assumptions!$B$4</f>
        <v/>
      </c>
    </row>
    <row r="10">
      <c r="A10" t="inlineStr">
        <is>
          <t>Jul</t>
        </is>
      </c>
      <c r="B10" t="inlineStr">
        <is>
          <t>School Hols + 2x COE</t>
        </is>
      </c>
      <c r="C10" s="7" t="n">
        <v>0.75</v>
      </c>
      <c r="D10" s="5">
        <f>$G$4*C10</f>
        <v/>
      </c>
      <c r="E10" s="4">
        <f>D10*Assumptions!$B$4</f>
        <v/>
      </c>
    </row>
    <row r="11">
      <c r="A11" t="inlineStr">
        <is>
          <t>Aug</t>
        </is>
      </c>
      <c r="B11" t="inlineStr">
        <is>
          <t>BTO + 2x COE</t>
        </is>
      </c>
      <c r="C11" s="7" t="n">
        <v>1.05</v>
      </c>
      <c r="D11" s="5">
        <f>$G$4*C11</f>
        <v/>
      </c>
      <c r="E11" s="4">
        <f>D11*Assumptions!$B$4</f>
        <v/>
      </c>
    </row>
    <row r="12">
      <c r="A12" t="inlineStr">
        <is>
          <t>Sep</t>
        </is>
      </c>
      <c r="B12" t="inlineStr">
        <is>
          <t>Condos + 2x COE</t>
        </is>
      </c>
      <c r="C12" s="7" t="n">
        <v>0.85</v>
      </c>
      <c r="D12" s="5">
        <f>$G$4*C12</f>
        <v/>
      </c>
      <c r="E12" s="4">
        <f>D12*Assumptions!$B$4</f>
        <v/>
      </c>
    </row>
    <row r="13">
      <c r="A13" t="inlineStr">
        <is>
          <t>Oct</t>
        </is>
      </c>
      <c r="B13" t="inlineStr">
        <is>
          <t>Condos + 2x COE</t>
        </is>
      </c>
      <c r="C13" s="7" t="n">
        <v>0.85</v>
      </c>
      <c r="D13" s="5">
        <f>$G$4*C13</f>
        <v/>
      </c>
      <c r="E13" s="4">
        <f>D13*Assumptions!$B$4</f>
        <v/>
      </c>
    </row>
    <row r="14">
      <c r="A14" t="inlineStr">
        <is>
          <t>Nov</t>
        </is>
      </c>
      <c r="B14" t="inlineStr">
        <is>
          <t>BTO + Bonus + 2x COE</t>
        </is>
      </c>
      <c r="C14" s="7" t="n">
        <v>1.15</v>
      </c>
      <c r="D14" s="5">
        <f>$G$4*C14</f>
        <v/>
      </c>
      <c r="E14" s="4">
        <f>D14*Assumptions!$B$4</f>
        <v/>
      </c>
    </row>
    <row r="15">
      <c r="A15" t="inlineStr">
        <is>
          <t>Dec</t>
        </is>
      </c>
      <c r="B15" t="inlineStr">
        <is>
          <t>Year-End + Bonus + 2x COE</t>
        </is>
      </c>
      <c r="C15" s="7" t="n">
        <v>1.15</v>
      </c>
      <c r="D15" s="5">
        <f>$G$4*C15</f>
        <v/>
      </c>
      <c r="E15" s="4">
        <f>D15*Assumptions!$B$4</f>
        <v/>
      </c>
    </row>
    <row r="16">
      <c r="A16" s="2" t="inlineStr">
        <is>
          <t>TOTAL</t>
        </is>
      </c>
      <c r="D16" s="5">
        <f>SUM(D4:D15)</f>
        <v/>
      </c>
      <c r="E16" s="4">
        <f>SUM(E4:E15)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SCENARIO ANALYSIS (YEAR 5 MATURE)</t>
        </is>
      </c>
    </row>
    <row r="3">
      <c r="A3" s="2" t="inlineStr">
        <is>
          <t>Scenario</t>
        </is>
      </c>
      <c r="B3" s="2" t="inlineStr">
        <is>
          <t>Market Capture</t>
        </is>
      </c>
      <c r="C3" s="2" t="inlineStr">
        <is>
          <t>Subscriber %</t>
        </is>
      </c>
      <c r="D3" s="2" t="inlineStr">
        <is>
          <t>Day Passes</t>
        </is>
      </c>
      <c r="E3" s="2" t="inlineStr">
        <is>
          <t>Subscribers</t>
        </is>
      </c>
      <c r="F3" s="2" t="inlineStr">
        <is>
          <t>Revenue</t>
        </is>
      </c>
      <c r="G3" s="2" t="inlineStr">
        <is>
          <t>Costs</t>
        </is>
      </c>
      <c r="H3" s="2" t="inlineStr">
        <is>
          <t>Profit</t>
        </is>
      </c>
    </row>
    <row r="4">
      <c r="A4" t="inlineStr">
        <is>
          <t>Conservative</t>
        </is>
      </c>
      <c r="B4" s="3" t="n">
        <v>0.5</v>
      </c>
      <c r="C4" s="3" t="n">
        <v>0.03</v>
      </c>
      <c r="D4" s="5">
        <f>Assumptions!$D$45*B4</f>
        <v/>
      </c>
      <c r="E4" s="5">
        <f>'Yearly Projection'!$F$5*C4</f>
        <v/>
      </c>
      <c r="F4" s="4">
        <f>(D4*Assumptions!$B$4)+(E4*0.3*Assumptions!$B$5*12)+(E4*0.7*Assumptions!$B$6)</f>
        <v/>
      </c>
      <c r="G4" s="4">
        <f>(D4*Assumptions!$B$12*Assumptions!$B$11)+(E4*Assumptions!$B$13*12*Assumptions!$B$11)+10000+(F4*Assumptions!$B$16)</f>
        <v/>
      </c>
      <c r="H4" s="4">
        <f>F4-G4</f>
        <v/>
      </c>
    </row>
    <row r="5">
      <c r="A5" t="inlineStr">
        <is>
          <t>Base Case</t>
        </is>
      </c>
      <c r="B5" s="3" t="n">
        <v>1</v>
      </c>
      <c r="C5" s="3" t="n">
        <v>0.05</v>
      </c>
      <c r="D5" s="5">
        <f>Assumptions!$D$45*B5</f>
        <v/>
      </c>
      <c r="E5" s="5">
        <f>'Yearly Projection'!$F$5*C5</f>
        <v/>
      </c>
      <c r="F5" s="4">
        <f>(D5*Assumptions!$B$4)+(E5*0.3*Assumptions!$B$5*12)+(E5*0.7*Assumptions!$B$6)</f>
        <v/>
      </c>
      <c r="G5" s="4">
        <f>(D5*Assumptions!$B$12*Assumptions!$B$11)+(E5*Assumptions!$B$13*12*Assumptions!$B$11)+15000+(F5*Assumptions!$B$16)</f>
        <v/>
      </c>
      <c r="H5" s="4">
        <f>F5-G5</f>
        <v/>
      </c>
    </row>
    <row r="6">
      <c r="A6" t="inlineStr">
        <is>
          <t>Optimistic</t>
        </is>
      </c>
      <c r="B6" s="3" t="n">
        <v>1.5</v>
      </c>
      <c r="C6" s="3" t="n">
        <v>0.08</v>
      </c>
      <c r="D6" s="5">
        <f>Assumptions!$D$45*B6</f>
        <v/>
      </c>
      <c r="E6" s="5">
        <f>'Yearly Projection'!$F$5*C6</f>
        <v/>
      </c>
      <c r="F6" s="4">
        <f>(D6*Assumptions!$B$4)+(E6*0.3*Assumptions!$B$5*12)+(E6*0.7*Assumptions!$B$6)</f>
        <v/>
      </c>
      <c r="G6" s="4">
        <f>(D6*Assumptions!$B$12*Assumptions!$B$11)+(E6*Assumptions!$B$13*12*Assumptions!$B$11)+20000+(F6*Assumptions!$B$16)</f>
        <v/>
      </c>
      <c r="H6" s="4">
        <f>F6-G6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15" customWidth="1" min="4" max="4"/>
  </cols>
  <sheetData>
    <row r="1">
      <c r="A1" s="1" t="inlineStr">
        <is>
          <t>REFERRAL PROGRAM ECONOMICS</t>
        </is>
      </c>
    </row>
    <row r="3">
      <c r="A3" s="2" t="inlineStr">
        <is>
          <t>Event</t>
        </is>
      </c>
      <c r="B3" s="2" t="inlineStr">
        <is>
          <t>Revenue</t>
        </is>
      </c>
      <c r="C3" s="2" t="inlineStr">
        <is>
          <t>Cost</t>
        </is>
      </c>
      <c r="D3" s="2" t="inlineStr">
        <is>
          <t>Net</t>
        </is>
      </c>
    </row>
    <row r="4">
      <c r="A4" t="inlineStr">
        <is>
          <t>User B buys day pass</t>
        </is>
      </c>
      <c r="B4" s="8">
        <f>Assumptions!B4</f>
        <v/>
      </c>
      <c r="C4" s="8">
        <f>Assumptions!$B$11*Assumptions!$B$12</f>
        <v/>
      </c>
      <c r="D4" s="8">
        <f>B4-C4</f>
        <v/>
      </c>
    </row>
    <row r="5">
      <c r="A5" t="inlineStr">
        <is>
          <t>User A gets free day pass</t>
        </is>
      </c>
      <c r="B5" s="8" t="n">
        <v>0</v>
      </c>
      <c r="C5" s="8">
        <f>Assumptions!$B$11*Assumptions!$B$12</f>
        <v/>
      </c>
      <c r="D5" s="8">
        <f>B5-C5</f>
        <v/>
      </c>
    </row>
    <row r="6">
      <c r="A6" s="2" t="inlineStr">
        <is>
          <t>TOTAL PER REFERRAL</t>
        </is>
      </c>
      <c r="B6" s="8">
        <f>SUM(B4:B5)</f>
        <v/>
      </c>
      <c r="C6" s="8">
        <f>SUM(C4:C5)</f>
        <v/>
      </c>
      <c r="D6" s="8">
        <f>SUM(D4:D5)</f>
        <v/>
      </c>
    </row>
    <row r="8">
      <c r="A8" s="1" t="inlineStr">
        <is>
          <t>REFERRAL IMPACT PROJECTION</t>
        </is>
      </c>
    </row>
    <row r="10">
      <c r="A10" s="2" t="inlineStr">
        <is>
          <t>Monthly Referrals</t>
        </is>
      </c>
      <c r="B10" s="2" t="inlineStr">
        <is>
          <t>Additional Revenue/Yr</t>
        </is>
      </c>
      <c r="C10" s="2" t="inlineStr">
        <is>
          <t>Additional Profit/Yr</t>
        </is>
      </c>
    </row>
    <row r="11">
      <c r="A11" s="5" t="n">
        <v>100</v>
      </c>
      <c r="B11" s="4">
        <f>A11*$B$6*12</f>
        <v/>
      </c>
      <c r="C11" s="4">
        <f>A11*$D$6*12</f>
        <v/>
      </c>
    </row>
    <row r="12">
      <c r="A12" s="5" t="n">
        <v>500</v>
      </c>
      <c r="B12" s="4">
        <f>A12*$B$6*12</f>
        <v/>
      </c>
      <c r="C12" s="4">
        <f>A12*$D$6*12</f>
        <v/>
      </c>
    </row>
    <row r="13">
      <c r="A13" s="5" t="n">
        <v>1000</v>
      </c>
      <c r="B13" s="4">
        <f>A13*$B$6*12</f>
        <v/>
      </c>
      <c r="C13" s="4">
        <f>A13*$D$6*12</f>
        <v/>
      </c>
    </row>
    <row r="14">
      <c r="A14" s="5" t="n">
        <v>5000</v>
      </c>
      <c r="B14" s="4">
        <f>A14*$B$6*12</f>
        <v/>
      </c>
      <c r="C14" s="4">
        <f>A14*$D$6*12</f>
        <v/>
      </c>
    </row>
    <row r="15">
      <c r="A15" s="5" t="n">
        <v>10000</v>
      </c>
      <c r="B15" s="4">
        <f>A15*$B$6*12</f>
        <v/>
      </c>
      <c r="C15" s="4">
        <f>A15*$D$6*12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2025-12-02T06:17:52Z</dcterms:created>
  <dcterms:modified xsi:type="dcterms:W3CDTF">2025-12-02T06:17:52Z</dcterms:modified>
</cp:coreProperties>
</file>