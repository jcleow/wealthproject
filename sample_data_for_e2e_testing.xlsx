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jitcorn/assetra3/"/>
    </mc:Choice>
  </mc:AlternateContent>
  <xr:revisionPtr revIDLastSave="0" documentId="13_ncr:1_{858F7D59-DB9A-C64A-8570-EE160B070557}" xr6:coauthVersionLast="47" xr6:coauthVersionMax="47" xr10:uidLastSave="{00000000-0000-0000-0000-000000000000}"/>
  <bookViews>
    <workbookView xWindow="25600" yWindow="500" windowWidth="25600" windowHeight="28300" activeTab="1" xr2:uid="{00000000-000D-0000-FFFF-FFFF00000000}"/>
  </bookViews>
  <sheets>
    <sheet name="Sample 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2" l="1"/>
  <c r="H27" i="2"/>
  <c r="I27" i="2"/>
  <c r="J27" i="2"/>
  <c r="K27" i="2"/>
  <c r="L27" i="2"/>
  <c r="M27" i="2"/>
  <c r="N27" i="2"/>
  <c r="O27" i="2"/>
  <c r="P27" i="2"/>
  <c r="Q27" i="2"/>
  <c r="F27" i="2"/>
  <c r="G36" i="2"/>
  <c r="H36" i="2"/>
  <c r="I36" i="2"/>
  <c r="J36" i="2"/>
  <c r="K36" i="2"/>
  <c r="L36" i="2"/>
  <c r="M36" i="2"/>
  <c r="N36" i="2"/>
  <c r="O36" i="2"/>
  <c r="P36" i="2"/>
  <c r="Q36" i="2"/>
  <c r="G37" i="2"/>
  <c r="H37" i="2"/>
  <c r="I37" i="2"/>
  <c r="J37" i="2"/>
  <c r="K37" i="2"/>
  <c r="L37" i="2"/>
  <c r="M37" i="2"/>
  <c r="N37" i="2"/>
  <c r="O37" i="2"/>
  <c r="P37" i="2"/>
  <c r="Q37" i="2"/>
  <c r="G55" i="2"/>
  <c r="H55" i="2"/>
  <c r="I55" i="2"/>
  <c r="J55" i="2"/>
  <c r="K55" i="2"/>
  <c r="L55" i="2"/>
  <c r="M55" i="2"/>
  <c r="N55" i="2"/>
  <c r="O55" i="2"/>
  <c r="P55" i="2"/>
  <c r="Q55" i="2"/>
  <c r="G38" i="2"/>
  <c r="H38" i="2"/>
  <c r="I38" i="2"/>
  <c r="J38" i="2"/>
  <c r="K38" i="2"/>
  <c r="L38" i="2"/>
  <c r="M38" i="2"/>
  <c r="N38" i="2"/>
  <c r="O38" i="2"/>
  <c r="P38" i="2"/>
  <c r="Q38" i="2"/>
  <c r="G39" i="2"/>
  <c r="H39" i="2"/>
  <c r="I39" i="2"/>
  <c r="J39" i="2"/>
  <c r="K39" i="2"/>
  <c r="L39" i="2"/>
  <c r="M39" i="2"/>
  <c r="N39" i="2"/>
  <c r="O39" i="2"/>
  <c r="P39" i="2"/>
  <c r="Q39" i="2"/>
  <c r="G40" i="2"/>
  <c r="H40" i="2"/>
  <c r="I40" i="2"/>
  <c r="J40" i="2"/>
  <c r="K40" i="2"/>
  <c r="L40" i="2"/>
  <c r="M40" i="2"/>
  <c r="N40" i="2"/>
  <c r="O40" i="2"/>
  <c r="P40" i="2"/>
  <c r="Q40" i="2"/>
  <c r="G41" i="2"/>
  <c r="H41" i="2"/>
  <c r="I41" i="2"/>
  <c r="J41" i="2"/>
  <c r="K41" i="2"/>
  <c r="L41" i="2"/>
  <c r="M41" i="2"/>
  <c r="N41" i="2"/>
  <c r="O41" i="2"/>
  <c r="P41" i="2"/>
  <c r="Q41" i="2"/>
  <c r="G42" i="2"/>
  <c r="H42" i="2"/>
  <c r="I42" i="2"/>
  <c r="J42" i="2"/>
  <c r="K42" i="2"/>
  <c r="L42" i="2"/>
  <c r="M42" i="2"/>
  <c r="N42" i="2"/>
  <c r="O42" i="2"/>
  <c r="P42" i="2"/>
  <c r="Q42" i="2"/>
  <c r="G43" i="2"/>
  <c r="H43" i="2"/>
  <c r="I43" i="2"/>
  <c r="J43" i="2"/>
  <c r="K43" i="2"/>
  <c r="L43" i="2"/>
  <c r="M43" i="2"/>
  <c r="N43" i="2"/>
  <c r="O43" i="2"/>
  <c r="P43" i="2"/>
  <c r="Q43" i="2"/>
  <c r="G44" i="2"/>
  <c r="H44" i="2"/>
  <c r="I44" i="2"/>
  <c r="J44" i="2"/>
  <c r="K44" i="2"/>
  <c r="L44" i="2"/>
  <c r="M44" i="2"/>
  <c r="N44" i="2"/>
  <c r="O44" i="2"/>
  <c r="P44" i="2"/>
  <c r="Q44" i="2"/>
  <c r="G45" i="2"/>
  <c r="H45" i="2"/>
  <c r="I45" i="2"/>
  <c r="J45" i="2"/>
  <c r="K45" i="2"/>
  <c r="L45" i="2"/>
  <c r="M45" i="2"/>
  <c r="N45" i="2"/>
  <c r="O45" i="2"/>
  <c r="P45" i="2"/>
  <c r="Q45" i="2"/>
  <c r="G46" i="2"/>
  <c r="H46" i="2"/>
  <c r="I46" i="2"/>
  <c r="J46" i="2"/>
  <c r="K46" i="2"/>
  <c r="L46" i="2"/>
  <c r="M46" i="2"/>
  <c r="N46" i="2"/>
  <c r="O46" i="2"/>
  <c r="P46" i="2"/>
  <c r="Q46" i="2"/>
  <c r="G47" i="2"/>
  <c r="H47" i="2"/>
  <c r="I47" i="2"/>
  <c r="J47" i="2"/>
  <c r="K47" i="2"/>
  <c r="L47" i="2"/>
  <c r="M47" i="2"/>
  <c r="N47" i="2"/>
  <c r="O47" i="2"/>
  <c r="P47" i="2"/>
  <c r="Q47" i="2"/>
  <c r="G48" i="2"/>
  <c r="H48" i="2"/>
  <c r="I48" i="2"/>
  <c r="J48" i="2"/>
  <c r="K48" i="2"/>
  <c r="L48" i="2"/>
  <c r="M48" i="2"/>
  <c r="N48" i="2"/>
  <c r="O48" i="2"/>
  <c r="P48" i="2"/>
  <c r="Q48" i="2"/>
  <c r="G49" i="2"/>
  <c r="H49" i="2"/>
  <c r="I49" i="2"/>
  <c r="J49" i="2"/>
  <c r="K49" i="2"/>
  <c r="L49" i="2"/>
  <c r="M49" i="2"/>
  <c r="N49" i="2"/>
  <c r="O49" i="2"/>
  <c r="P49" i="2"/>
  <c r="Q49" i="2"/>
  <c r="G50" i="2"/>
  <c r="L50" i="2"/>
  <c r="F37" i="2"/>
  <c r="F55" i="2"/>
  <c r="F38" i="2"/>
  <c r="F39" i="2"/>
  <c r="F40" i="2"/>
  <c r="F41" i="2"/>
  <c r="F42" i="2"/>
  <c r="F43" i="2"/>
  <c r="F44" i="2"/>
  <c r="F45" i="2"/>
  <c r="F46" i="2"/>
  <c r="F47" i="2"/>
  <c r="F48" i="2"/>
  <c r="F49" i="2"/>
  <c r="F36" i="2"/>
  <c r="E50" i="2"/>
  <c r="H50" i="2" s="1"/>
  <c r="E30" i="2"/>
  <c r="E22" i="2"/>
  <c r="F6" i="2"/>
  <c r="G6" i="2" s="1"/>
  <c r="H6" i="2" s="1"/>
  <c r="F13" i="2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13" i="2" s="1"/>
  <c r="F14" i="2"/>
  <c r="G14" i="2" s="1"/>
  <c r="H14" i="2" s="1"/>
  <c r="I14" i="2" s="1"/>
  <c r="J14" i="2" s="1"/>
  <c r="K14" i="2" s="1"/>
  <c r="L14" i="2" s="1"/>
  <c r="M14" i="2" s="1"/>
  <c r="N14" i="2" s="1"/>
  <c r="O14" i="2" s="1"/>
  <c r="P14" i="2" s="1"/>
  <c r="Q14" i="2" s="1"/>
  <c r="F15" i="2"/>
  <c r="G15" i="2" s="1"/>
  <c r="H15" i="2" s="1"/>
  <c r="I15" i="2" s="1"/>
  <c r="J15" i="2" s="1"/>
  <c r="K15" i="2" s="1"/>
  <c r="L15" i="2" s="1"/>
  <c r="M15" i="2" s="1"/>
  <c r="N15" i="2" s="1"/>
  <c r="O15" i="2" s="1"/>
  <c r="P15" i="2" s="1"/>
  <c r="Q15" i="2" s="1"/>
  <c r="F7" i="2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F8" i="2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F9" i="2"/>
  <c r="G9" i="2" s="1"/>
  <c r="H9" i="2" s="1"/>
  <c r="I9" i="2" s="1"/>
  <c r="J9" i="2" s="1"/>
  <c r="K9" i="2" s="1"/>
  <c r="L9" i="2" s="1"/>
  <c r="M9" i="2" s="1"/>
  <c r="N9" i="2" s="1"/>
  <c r="O9" i="2" s="1"/>
  <c r="P9" i="2" s="1"/>
  <c r="Q9" i="2" s="1"/>
  <c r="F21" i="2"/>
  <c r="G21" i="2" s="1"/>
  <c r="H21" i="2" s="1"/>
  <c r="I21" i="2" s="1"/>
  <c r="J21" i="2" s="1"/>
  <c r="K21" i="2" s="1"/>
  <c r="L21" i="2" s="1"/>
  <c r="M21" i="2" s="1"/>
  <c r="N21" i="2" s="1"/>
  <c r="O21" i="2" s="1"/>
  <c r="P21" i="2" s="1"/>
  <c r="Q21" i="2" s="1"/>
  <c r="F20" i="2"/>
  <c r="E17" i="2"/>
  <c r="F22" i="2" l="1"/>
  <c r="H52" i="2"/>
  <c r="H10" i="2" s="1"/>
  <c r="E52" i="2"/>
  <c r="F50" i="2"/>
  <c r="Q50" i="2"/>
  <c r="O50" i="2"/>
  <c r="E24" i="2"/>
  <c r="N50" i="2"/>
  <c r="G52" i="2"/>
  <c r="G10" i="2" s="1"/>
  <c r="P50" i="2"/>
  <c r="M50" i="2"/>
  <c r="F52" i="2"/>
  <c r="F10" i="2" s="1"/>
  <c r="F17" i="2" s="1"/>
  <c r="F24" i="2" s="1"/>
  <c r="G20" i="2"/>
  <c r="K50" i="2"/>
  <c r="J50" i="2"/>
  <c r="I50" i="2"/>
  <c r="I6" i="2"/>
  <c r="J6" i="2" s="1"/>
  <c r="K6" i="2" s="1"/>
  <c r="L6" i="2" s="1"/>
  <c r="M6" i="2" s="1"/>
  <c r="N6" i="2" s="1"/>
  <c r="O6" i="2" s="1"/>
  <c r="P6" i="2" s="1"/>
  <c r="Q6" i="2" s="1"/>
  <c r="Q17" i="2" s="1"/>
  <c r="H17" i="2"/>
  <c r="G17" i="2"/>
  <c r="L17" i="2" l="1"/>
  <c r="M17" i="2"/>
  <c r="N17" i="2"/>
  <c r="I17" i="2"/>
  <c r="O17" i="2"/>
  <c r="P17" i="2"/>
  <c r="J17" i="2"/>
  <c r="H20" i="2"/>
  <c r="G22" i="2"/>
  <c r="G24" i="2" s="1"/>
  <c r="K17" i="2"/>
  <c r="I52" i="2"/>
  <c r="I10" i="2" s="1"/>
  <c r="I20" i="2" l="1"/>
  <c r="H22" i="2"/>
  <c r="H24" i="2" s="1"/>
  <c r="J52" i="2"/>
  <c r="J10" i="2" s="1"/>
  <c r="J20" i="2" l="1"/>
  <c r="I22" i="2"/>
  <c r="I24" i="2" s="1"/>
  <c r="K52" i="2"/>
  <c r="K10" i="2" s="1"/>
  <c r="K20" i="2" l="1"/>
  <c r="J22" i="2"/>
  <c r="J24" i="2" s="1"/>
  <c r="L52" i="2"/>
  <c r="L10" i="2" s="1"/>
  <c r="L20" i="2" l="1"/>
  <c r="K22" i="2"/>
  <c r="K24" i="2" s="1"/>
  <c r="M52" i="2"/>
  <c r="M10" i="2" s="1"/>
  <c r="M20" i="2" l="1"/>
  <c r="L22" i="2"/>
  <c r="L24" i="2" s="1"/>
  <c r="N52" i="2"/>
  <c r="N10" i="2" s="1"/>
  <c r="N20" i="2" l="1"/>
  <c r="M22" i="2"/>
  <c r="M24" i="2" s="1"/>
  <c r="O52" i="2"/>
  <c r="O10" i="2" s="1"/>
  <c r="O20" i="2" l="1"/>
  <c r="N22" i="2"/>
  <c r="N24" i="2" s="1"/>
  <c r="P52" i="2"/>
  <c r="P10" i="2" s="1"/>
  <c r="Q52" i="2"/>
  <c r="Q10" i="2" s="1"/>
  <c r="P20" i="2" l="1"/>
  <c r="O22" i="2"/>
  <c r="O24" i="2" s="1"/>
  <c r="Q20" i="2" l="1"/>
  <c r="Q22" i="2" s="1"/>
  <c r="Q24" i="2" s="1"/>
  <c r="P22" i="2"/>
  <c r="P2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tc={7E538E1B-AE9A-AE43-A492-F2789D6390EB}</author>
  </authors>
  <commentList>
    <comment ref="C6" authorId="0" shapeId="0" xr:uid="{7E538E1B-AE9A-AE43-A492-F2789D6390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 to use average daily balance to compute + daily tier interest
</t>
      </text>
    </comment>
  </commentList>
</comments>
</file>

<file path=xl/sharedStrings.xml><?xml version="1.0" encoding="utf-8"?>
<sst xmlns="http://schemas.openxmlformats.org/spreadsheetml/2006/main" count="283" uniqueCount="138">
  <si>
    <t>SUMMARY</t>
  </si>
  <si>
    <t>Current Year:</t>
  </si>
  <si>
    <t>Profile:</t>
  </si>
  <si>
    <t>32-year-old Singaporean software engineer</t>
  </si>
  <si>
    <t>Total Assets:</t>
  </si>
  <si>
    <t>Total Liabilities:</t>
  </si>
  <si>
    <t>Net Worth:</t>
  </si>
  <si>
    <t>Annual Income:</t>
  </si>
  <si>
    <t>Annual Expenses:</t>
  </si>
  <si>
    <t>Annual Savings:</t>
  </si>
  <si>
    <t>ASSETS</t>
  </si>
  <si>
    <t>Name</t>
  </si>
  <si>
    <t>DBS Multiplier Account</t>
  </si>
  <si>
    <t>CPF Ordinary Account</t>
  </si>
  <si>
    <t>CPF Special Account</t>
  </si>
  <si>
    <t>CPF Medisave</t>
  </si>
  <si>
    <t>Syfe Core Growth Portfolio</t>
  </si>
  <si>
    <t>Singapore Savings Bonds</t>
  </si>
  <si>
    <t>Emergency Fund</t>
  </si>
  <si>
    <t>Category</t>
  </si>
  <si>
    <t>Bank Account</t>
  </si>
  <si>
    <t>Retirement</t>
  </si>
  <si>
    <t>Investment</t>
  </si>
  <si>
    <t>Current Value (SGD)</t>
  </si>
  <si>
    <t>Annual Growth Rate (%)</t>
  </si>
  <si>
    <t>Start Year</t>
  </si>
  <si>
    <t>Notes</t>
  </si>
  <si>
    <t>Main savings account with salary crediting</t>
  </si>
  <si>
    <t>10 years of contributions, can be used for housing</t>
  </si>
  <si>
    <t>Cannot touch until 55, higher interest rate</t>
  </si>
  <si>
    <t>Medical expenses and insurance premiums</t>
  </si>
  <si>
    <t>Global ETF robo-advisor, monthly DCA $500</t>
  </si>
  <si>
    <t>Safe haven, 10-year average yield</t>
  </si>
  <si>
    <t>6 months expenses in high-yield savings</t>
  </si>
  <si>
    <t>LIABILITIES</t>
  </si>
  <si>
    <t>Study Loan (NUS)</t>
  </si>
  <si>
    <t>Credit Card</t>
  </si>
  <si>
    <t>Loan</t>
  </si>
  <si>
    <t>Current Balance (SGD)</t>
  </si>
  <si>
    <t>Interest Rate APR (%)</t>
  </si>
  <si>
    <t>INCOMES</t>
  </si>
  <si>
    <t>Source</t>
  </si>
  <si>
    <t>Software Engineer Salary</t>
  </si>
  <si>
    <t>Annual Bonus</t>
  </si>
  <si>
    <t>Freelance Development</t>
  </si>
  <si>
    <t>Employment</t>
  </si>
  <si>
    <t>Freelance</t>
  </si>
  <si>
    <t>Amount (SGD)</t>
  </si>
  <si>
    <t>Frequency</t>
  </si>
  <si>
    <t>monthly</t>
  </si>
  <si>
    <t>yearly</t>
  </si>
  <si>
    <t>Growth Rate (%)</t>
  </si>
  <si>
    <t>EXPENSES</t>
  </si>
  <si>
    <t>Payee</t>
  </si>
  <si>
    <t>Parents Allowance</t>
  </si>
  <si>
    <t>Rent (Room)</t>
  </si>
  <si>
    <t>Groceries &amp; Hawker</t>
  </si>
  <si>
    <t>Dining &amp; Social</t>
  </si>
  <si>
    <t>Public Transport</t>
  </si>
  <si>
    <t>Grab/Taxi</t>
  </si>
  <si>
    <t>Mobile Plan</t>
  </si>
  <si>
    <t>Subscriptions</t>
  </si>
  <si>
    <t>Term Life Insurance</t>
  </si>
  <si>
    <t>Health Insurance (IP)</t>
  </si>
  <si>
    <t>Gym Membership</t>
  </si>
  <si>
    <t>Personal Care</t>
  </si>
  <si>
    <t>Shopping &amp; Entertainment</t>
  </si>
  <si>
    <t>Investment Contribution</t>
  </si>
  <si>
    <t>Annual Travel Fund</t>
  </si>
  <si>
    <t>Family</t>
  </si>
  <si>
    <t>Housing</t>
  </si>
  <si>
    <t>Food</t>
  </si>
  <si>
    <t>Transport</t>
  </si>
  <si>
    <t>Bills</t>
  </si>
  <si>
    <t>Insurance</t>
  </si>
  <si>
    <t>Health</t>
  </si>
  <si>
    <t>Personal</t>
  </si>
  <si>
    <t>Savings</t>
  </si>
  <si>
    <t>Travel</t>
  </si>
  <si>
    <t>Monthly contribution to parents</t>
  </si>
  <si>
    <t>Master bedroom in shared HDB, Toa Payoh</t>
  </si>
  <si>
    <t>Mix of cooking and hawker center meals</t>
  </si>
  <si>
    <t>Restaurants, dates, gatherings with friends</t>
  </si>
  <si>
    <t>MRT and bus, monthly concession</t>
  </si>
  <si>
    <t>Late nights and rainy days</t>
  </si>
  <si>
    <t>Circles.Life SIM-only plan</t>
  </si>
  <si>
    <t>Netflix, Spotify, iCloud</t>
  </si>
  <si>
    <t>NTUC Income term life, $500k coverage</t>
  </si>
  <si>
    <t>Integrated Shield Plan rider, paid from Medisave + cash</t>
  </si>
  <si>
    <t>ActiveSG + occasional ClassPass</t>
  </si>
  <si>
    <t>Haircut, toiletries, etc</t>
  </si>
  <si>
    <t>Clothes, gadgets, movies</t>
  </si>
  <si>
    <t>Monthly DCA to Syfe portfolio</t>
  </si>
  <si>
    <t>1-2 overseas trips per year (Japan, Thailand, etc)</t>
  </si>
  <si>
    <t>GROWTH CONFIGURATIONS</t>
  </si>
  <si>
    <t>Item Type</t>
  </si>
  <si>
    <t>Asset</t>
  </si>
  <si>
    <t>Liability</t>
  </si>
  <si>
    <t>Income</t>
  </si>
  <si>
    <t>Expense</t>
  </si>
  <si>
    <t>Item Name</t>
  </si>
  <si>
    <t>Growth/Interest Rate (%)</t>
  </si>
  <si>
    <t>Note</t>
  </si>
  <si>
    <t>Annual growth rate</t>
  </si>
  <si>
    <t>Interest Rate APR</t>
  </si>
  <si>
    <t>No growth</t>
  </si>
  <si>
    <t>DBS multiplier account</t>
  </si>
  <si>
    <t>CPF OrdinaryAccount</t>
  </si>
  <si>
    <t>CPF SpecialAccount</t>
  </si>
  <si>
    <t>CPF Medisave Account</t>
  </si>
  <si>
    <t>Year</t>
  </si>
  <si>
    <t>Growth Rate</t>
  </si>
  <si>
    <t>Jan</t>
  </si>
  <si>
    <t>Feb</t>
  </si>
  <si>
    <t>Mar</t>
  </si>
  <si>
    <t>April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</si>
  <si>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</si>
  <si>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</si>
  <si>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</si>
  <si>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</si>
  <si>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</si>
  <si>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</si>
  <si>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</si>
  <si>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</si>
  <si>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</si>
  <si>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Cash</t>
  </si>
  <si>
    <t>Assets</t>
  </si>
  <si>
    <t>Liabilities</t>
  </si>
  <si>
    <t>Total Liability</t>
  </si>
  <si>
    <t>Net Worth</t>
  </si>
  <si>
    <t>Salary</t>
  </si>
  <si>
    <t>Annual Income</t>
  </si>
  <si>
    <t>Rent</t>
  </si>
  <si>
    <t>Total Income</t>
  </si>
  <si>
    <t>CPF</t>
  </si>
  <si>
    <t>Investments Contribution</t>
  </si>
  <si>
    <t>CPF Contributions</t>
  </si>
  <si>
    <t>Employee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</si>
</sst>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\$#,##0"/>
    <numFmt numFmtId="165" formatCode="0.0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196F3"/>
        <bgColor rgb="FF2196F3"/>
      </patternFill>
    </fill>
    <fill>
      <patternFill patternType="solid">
        <fgColor rgb="FF4CAF50"/>
        <bgColor rgb="FF4CAF50"/>
      </patternFill>
    </fill>
    <fill>
      <patternFill patternType="solid">
        <fgColor rgb="FFE8F5E9"/>
        <bgColor rgb="FFE8F5E9"/>
      </patternFill>
    </fill>
    <fill>
      <patternFill patternType="solid">
        <fgColor rgb="FFF44336"/>
        <bgColor rgb="FFF44336"/>
      </patternFill>
    </fill>
    <fill>
      <patternFill patternType="solid">
        <fgColor rgb="FFFFEBEE"/>
        <bgColor rgb="FFFFEBEE"/>
      </patternFill>
    </fill>
    <fill>
      <patternFill patternType="solid">
        <fgColor rgb="FFFF9800"/>
        <bgColor rgb="FFFF9800"/>
      </patternFill>
    </fill>
    <fill>
      <patternFill patternType="solid">
        <fgColor rgb="FFFFF3E0"/>
        <bgColor rgb="FFFFF3E0"/>
      </patternFill>
    </fill>
    <fill>
      <patternFill patternType="solid">
        <fgColor rgb="FF9C27B0"/>
        <bgColor rgb="FF9C27B0"/>
      </patternFill>
    </fill>
    <fill>
      <patternFill patternType="solid">
        <fgColor rgb="FFF3E5F5"/>
        <bgColor rgb="FFF3E5F5"/>
      </patternFill>
    </fill>
    <fill>
      <patternFill patternType="solid">
        <fgColor rgb="FF607D8B"/>
        <bgColor rgb="FF607D8B"/>
      </patternFill>
    </fill>
    <fill>
      <patternFill patternType="solid">
        <fgColor rgb="FFECEFF1"/>
        <bgColor rgb="FFECEF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1" fillId="2" borderId="0" xfId="0" applyFont="1" applyFill="1"/>
    <xf numFmtId="0" fontId="2" fillId="0" borderId="0" xfId="0" applyFont="1"/>
    <xf numFmtId="164" fontId="0" fillId="0" borderId="0" xfId="0" applyNumberFormat="1"/>
    <xf numFmtId="0" fontId="1" fillId="3" borderId="0" xfId="0" applyFont="1" applyFill="1"/>
    <xf numFmtId="0" fontId="2" fillId="4" borderId="0" xfId="0" applyFont="1" applyFill="1"/>
    <xf numFmtId="3" fontId="0" fillId="0" borderId="0" xfId="0" applyNumberFormat="1"/>
    <xf numFmtId="165" fontId="0" fillId="0" borderId="0" xfId="0" applyNumberFormat="1"/>
    <xf numFmtId="0" fontId="1" fillId="5" borderId="0" xfId="0" applyFont="1" applyFill="1"/>
    <xf numFmtId="0" fontId="2" fillId="6" borderId="0" xfId="0" applyFont="1" applyFill="1"/>
    <xf numFmtId="0" fontId="1" fillId="7" borderId="0" xfId="0" applyFont="1" applyFill="1"/>
    <xf numFmtId="0" fontId="2" fillId="8" borderId="0" xfId="0" applyFont="1" applyFill="1"/>
    <xf numFmtId="3" fontId="2" fillId="8" borderId="0" xfId="0" applyNumberFormat="1" applyFont="1" applyFill="1"/>
    <xf numFmtId="0" fontId="1" fillId="9" borderId="0" xfId="0" applyFont="1" applyFill="1"/>
    <xf numFmtId="0" fontId="2" fillId="10" borderId="0" xfId="0" applyFont="1" applyFill="1"/>
    <xf numFmtId="3" fontId="2" fillId="10" borderId="0" xfId="0" applyNumberFormat="1" applyFont="1" applyFill="1"/>
    <xf numFmtId="0" fontId="1" fillId="11" borderId="0" xfId="0" applyFont="1" applyFill="1"/>
    <xf numFmtId="0" fontId="2" fillId="12" borderId="0" xfId="0" applyFont="1" applyFill="1"/>
    <xf numFmtId="167" fontId="0" fillId="0" borderId="0" xfId="1" applyNumberFormat="1" applyFont="1"/>
    <xf numFmtId="2" fontId="0" fillId="0" borderId="0" xfId="0" applyNumberFormat="1"/>
    <xf numFmtId="167" fontId="0" fillId="0" borderId="0" xfId="0" applyNumberForma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ow, Jit Corn" id="{A4805D6D-30B8-7A43-A6B3-AEF0595611EA}" userId="S::jleow6@gatech.edu::4504744f-bd85-4a4b-95c6-c7bf0bcda6d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5-12-05T09:20:58.47" personId="{A4805D6D-30B8-7A43-A6B3-AEF0595611EA}" id="{7E538E1B-AE9A-AE43-A492-F2789D6390EB}">
    <text xml:space="preserve">need to use average daily balance to compute + daily tier interest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4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26" customWidth="1"/>
    <col min="2" max="2" width="44" customWidth="1"/>
    <col min="3" max="3" width="52" customWidth="1"/>
    <col min="4" max="5" width="45" customWidth="1"/>
    <col min="6" max="6" width="43" customWidth="1"/>
    <col min="7" max="7" width="35" customWidth="1"/>
    <col min="8" max="8" width="41" customWidth="1"/>
    <col min="9" max="9" width="26" customWidth="1"/>
    <col min="10" max="10" width="39" customWidth="1"/>
    <col min="11" max="11" width="57" customWidth="1"/>
    <col min="12" max="12" width="33" customWidth="1"/>
    <col min="13" max="14" width="26" customWidth="1"/>
    <col min="15" max="15" width="31" customWidth="1"/>
    <col min="16" max="16" width="52" customWidth="1"/>
    <col min="17" max="19" width="20" customWidth="1"/>
    <col min="20" max="20" width="13" customWidth="1"/>
    <col min="21" max="21" width="20" customWidth="1"/>
    <col min="22" max="22" width="21" customWidth="1"/>
    <col min="23" max="23" width="23" customWidth="1"/>
    <col min="24" max="25" width="20" customWidth="1"/>
    <col min="26" max="26" width="26" customWidth="1"/>
    <col min="27" max="27" width="25" customWidth="1"/>
    <col min="28" max="28" width="20" customWidth="1"/>
  </cols>
  <sheetData>
    <row r="1" spans="1:8" ht="19" x14ac:dyDescent="0.25">
      <c r="A1" s="1" t="s">
        <v>0</v>
      </c>
    </row>
    <row r="2" spans="1:8" x14ac:dyDescent="0.2">
      <c r="A2" s="2" t="s">
        <v>1</v>
      </c>
      <c r="B2">
        <v>2025</v>
      </c>
    </row>
    <row r="3" spans="1:8" x14ac:dyDescent="0.2">
      <c r="A3" s="2" t="s">
        <v>2</v>
      </c>
      <c r="B3" t="s">
        <v>3</v>
      </c>
    </row>
    <row r="4" spans="1:8" x14ac:dyDescent="0.2">
      <c r="A4" s="2" t="s">
        <v>4</v>
      </c>
      <c r="B4" s="3">
        <v>260000</v>
      </c>
    </row>
    <row r="5" spans="1:8" x14ac:dyDescent="0.2">
      <c r="A5" s="2" t="s">
        <v>5</v>
      </c>
      <c r="B5" s="3">
        <v>8800</v>
      </c>
    </row>
    <row r="6" spans="1:8" x14ac:dyDescent="0.2">
      <c r="A6" s="2" t="s">
        <v>6</v>
      </c>
      <c r="B6" s="3">
        <v>251200</v>
      </c>
    </row>
    <row r="7" spans="1:8" x14ac:dyDescent="0.2">
      <c r="A7" s="2" t="s">
        <v>7</v>
      </c>
      <c r="B7" s="3">
        <v>114600</v>
      </c>
    </row>
    <row r="8" spans="1:8" x14ac:dyDescent="0.2">
      <c r="A8" s="2" t="s">
        <v>8</v>
      </c>
      <c r="B8" s="3">
        <v>52300</v>
      </c>
    </row>
    <row r="9" spans="1:8" x14ac:dyDescent="0.2">
      <c r="A9" s="2" t="s">
        <v>9</v>
      </c>
      <c r="B9" s="3">
        <v>62300</v>
      </c>
    </row>
    <row r="11" spans="1:8" ht="19" x14ac:dyDescent="0.25">
      <c r="A11" s="4" t="s">
        <v>10</v>
      </c>
    </row>
    <row r="12" spans="1:8" x14ac:dyDescent="0.2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</row>
    <row r="13" spans="1:8" x14ac:dyDescent="0.2">
      <c r="A13" t="s">
        <v>19</v>
      </c>
      <c r="B13" t="s">
        <v>20</v>
      </c>
      <c r="C13" s="6" t="s">
        <v>21</v>
      </c>
      <c r="D13" s="7" t="s">
        <v>21</v>
      </c>
      <c r="E13" t="s">
        <v>21</v>
      </c>
      <c r="F13" t="s">
        <v>22</v>
      </c>
      <c r="G13" t="s">
        <v>22</v>
      </c>
      <c r="H13" t="s">
        <v>20</v>
      </c>
    </row>
    <row r="14" spans="1:8" x14ac:dyDescent="0.2">
      <c r="A14" t="s">
        <v>23</v>
      </c>
      <c r="B14">
        <v>25000</v>
      </c>
      <c r="C14" s="6">
        <v>85000</v>
      </c>
      <c r="D14" s="7">
        <v>45000</v>
      </c>
      <c r="E14">
        <v>32000</v>
      </c>
      <c r="F14">
        <v>35000</v>
      </c>
      <c r="G14">
        <v>20000</v>
      </c>
      <c r="H14">
        <v>18000</v>
      </c>
    </row>
    <row r="15" spans="1:8" x14ac:dyDescent="0.2">
      <c r="A15" t="s">
        <v>24</v>
      </c>
      <c r="B15">
        <v>2.5</v>
      </c>
      <c r="C15" s="6">
        <v>2.5</v>
      </c>
      <c r="D15" s="7">
        <v>4</v>
      </c>
      <c r="E15">
        <v>4</v>
      </c>
      <c r="F15">
        <v>6</v>
      </c>
      <c r="G15">
        <v>3</v>
      </c>
      <c r="H15">
        <v>2</v>
      </c>
    </row>
    <row r="16" spans="1:8" x14ac:dyDescent="0.2">
      <c r="A16" t="s">
        <v>25</v>
      </c>
      <c r="B16">
        <v>2025</v>
      </c>
      <c r="C16" s="6">
        <v>2025</v>
      </c>
      <c r="D16" s="7">
        <v>2025</v>
      </c>
      <c r="E16">
        <v>2025</v>
      </c>
      <c r="F16">
        <v>2025</v>
      </c>
      <c r="G16">
        <v>2025</v>
      </c>
      <c r="H16">
        <v>2025</v>
      </c>
    </row>
    <row r="17" spans="1:8" x14ac:dyDescent="0.2">
      <c r="A17" t="s">
        <v>26</v>
      </c>
      <c r="B17" t="s">
        <v>27</v>
      </c>
      <c r="C17" s="6" t="s">
        <v>28</v>
      </c>
      <c r="D17" s="7" t="s">
        <v>29</v>
      </c>
      <c r="E17" t="s">
        <v>30</v>
      </c>
      <c r="F17" t="s">
        <v>31</v>
      </c>
      <c r="G17" t="s">
        <v>32</v>
      </c>
      <c r="H17" t="s">
        <v>33</v>
      </c>
    </row>
    <row r="21" spans="1:8" ht="19" x14ac:dyDescent="0.25">
      <c r="A21" s="8" t="s">
        <v>34</v>
      </c>
    </row>
    <row r="22" spans="1:8" x14ac:dyDescent="0.2">
      <c r="A22" s="9" t="s">
        <v>11</v>
      </c>
      <c r="B22" s="9" t="s">
        <v>35</v>
      </c>
      <c r="C22" s="9" t="s">
        <v>36</v>
      </c>
    </row>
    <row r="23" spans="1:8" x14ac:dyDescent="0.2">
      <c r="A23" t="s">
        <v>19</v>
      </c>
      <c r="B23" t="s">
        <v>37</v>
      </c>
      <c r="C23" s="6" t="s">
        <v>36</v>
      </c>
    </row>
    <row r="24" spans="1:8" x14ac:dyDescent="0.2">
      <c r="A24" t="s">
        <v>38</v>
      </c>
      <c r="B24">
        <v>8000</v>
      </c>
      <c r="C24" s="6">
        <v>800</v>
      </c>
    </row>
    <row r="25" spans="1:8" x14ac:dyDescent="0.2">
      <c r="A25" t="s">
        <v>39</v>
      </c>
      <c r="B25">
        <v>4.5</v>
      </c>
      <c r="C25" s="6">
        <v>26</v>
      </c>
    </row>
    <row r="26" spans="1:8" ht="19" x14ac:dyDescent="0.25">
      <c r="A26" s="10" t="s">
        <v>40</v>
      </c>
      <c r="B26">
        <v>250</v>
      </c>
      <c r="C26" s="6">
        <v>50</v>
      </c>
    </row>
    <row r="27" spans="1:8" x14ac:dyDescent="0.2">
      <c r="A27" s="11" t="s">
        <v>41</v>
      </c>
      <c r="B27" s="11" t="s">
        <v>42</v>
      </c>
      <c r="C27" s="12" t="s">
        <v>43</v>
      </c>
      <c r="D27" s="11" t="s">
        <v>44</v>
      </c>
    </row>
    <row r="28" spans="1:8" x14ac:dyDescent="0.2">
      <c r="A28" t="s">
        <v>19</v>
      </c>
      <c r="B28" t="s">
        <v>45</v>
      </c>
      <c r="C28" s="6" t="s">
        <v>45</v>
      </c>
      <c r="D28" t="s">
        <v>46</v>
      </c>
    </row>
    <row r="29" spans="1:8" x14ac:dyDescent="0.2">
      <c r="A29" t="s">
        <v>47</v>
      </c>
      <c r="B29">
        <v>7500</v>
      </c>
      <c r="C29" s="6">
        <v>15000</v>
      </c>
      <c r="D29">
        <v>800</v>
      </c>
    </row>
    <row r="30" spans="1:8" x14ac:dyDescent="0.2">
      <c r="A30" t="s">
        <v>48</v>
      </c>
      <c r="B30" t="s">
        <v>49</v>
      </c>
      <c r="C30" s="6" t="s">
        <v>50</v>
      </c>
      <c r="D30" t="s">
        <v>49</v>
      </c>
    </row>
    <row r="31" spans="1:8" x14ac:dyDescent="0.2">
      <c r="A31" t="s">
        <v>51</v>
      </c>
      <c r="B31">
        <v>4</v>
      </c>
      <c r="C31" s="6">
        <v>3</v>
      </c>
      <c r="D31">
        <v>0</v>
      </c>
    </row>
    <row r="32" spans="1:8" ht="19" x14ac:dyDescent="0.25">
      <c r="A32" s="13" t="s">
        <v>52</v>
      </c>
      <c r="B32">
        <v>2025</v>
      </c>
      <c r="C32" s="6">
        <v>2025</v>
      </c>
      <c r="D32">
        <v>2025</v>
      </c>
    </row>
    <row r="33" spans="1:16" x14ac:dyDescent="0.2">
      <c r="A33" s="14" t="s">
        <v>53</v>
      </c>
      <c r="B33" s="14" t="s">
        <v>54</v>
      </c>
      <c r="C33" s="15" t="s">
        <v>55</v>
      </c>
      <c r="D33" s="14" t="s">
        <v>56</v>
      </c>
      <c r="E33" s="14" t="s">
        <v>57</v>
      </c>
      <c r="F33" s="14" t="s">
        <v>58</v>
      </c>
      <c r="G33" s="14" t="s">
        <v>59</v>
      </c>
      <c r="H33" s="14" t="s">
        <v>60</v>
      </c>
      <c r="I33" s="14" t="s">
        <v>61</v>
      </c>
      <c r="J33" s="14" t="s">
        <v>62</v>
      </c>
      <c r="K33" s="14" t="s">
        <v>63</v>
      </c>
      <c r="L33" s="14" t="s">
        <v>64</v>
      </c>
      <c r="M33" s="14" t="s">
        <v>65</v>
      </c>
      <c r="N33" s="14" t="s">
        <v>66</v>
      </c>
      <c r="O33" s="14" t="s">
        <v>67</v>
      </c>
      <c r="P33" s="14" t="s">
        <v>68</v>
      </c>
    </row>
    <row r="34" spans="1:16" x14ac:dyDescent="0.2">
      <c r="A34" t="s">
        <v>19</v>
      </c>
      <c r="B34" t="s">
        <v>69</v>
      </c>
      <c r="C34" s="6" t="s">
        <v>70</v>
      </c>
      <c r="D34" t="s">
        <v>71</v>
      </c>
      <c r="E34" s="7" t="s">
        <v>71</v>
      </c>
      <c r="F34" t="s">
        <v>72</v>
      </c>
      <c r="G34" t="s">
        <v>72</v>
      </c>
      <c r="H34" t="s">
        <v>73</v>
      </c>
      <c r="I34" t="s">
        <v>73</v>
      </c>
      <c r="J34" t="s">
        <v>74</v>
      </c>
      <c r="K34" t="s">
        <v>74</v>
      </c>
      <c r="L34" t="s">
        <v>75</v>
      </c>
      <c r="M34" t="s">
        <v>76</v>
      </c>
      <c r="N34" t="s">
        <v>76</v>
      </c>
      <c r="O34" t="s">
        <v>77</v>
      </c>
      <c r="P34" t="s">
        <v>78</v>
      </c>
    </row>
    <row r="35" spans="1:16" x14ac:dyDescent="0.2">
      <c r="A35" t="s">
        <v>47</v>
      </c>
      <c r="B35">
        <v>500</v>
      </c>
      <c r="C35" s="6">
        <v>1200</v>
      </c>
      <c r="D35">
        <v>600</v>
      </c>
      <c r="E35" s="7">
        <v>400</v>
      </c>
      <c r="F35">
        <v>120</v>
      </c>
      <c r="G35">
        <v>100</v>
      </c>
      <c r="H35">
        <v>45</v>
      </c>
      <c r="I35">
        <v>50</v>
      </c>
      <c r="J35">
        <v>150</v>
      </c>
      <c r="K35">
        <v>80</v>
      </c>
      <c r="L35">
        <v>100</v>
      </c>
      <c r="M35">
        <v>80</v>
      </c>
      <c r="N35">
        <v>200</v>
      </c>
      <c r="O35">
        <v>500</v>
      </c>
      <c r="P35">
        <v>4000</v>
      </c>
    </row>
    <row r="36" spans="1:16" x14ac:dyDescent="0.2">
      <c r="A36" t="s">
        <v>48</v>
      </c>
      <c r="B36" t="s">
        <v>49</v>
      </c>
      <c r="C36" s="6" t="s">
        <v>49</v>
      </c>
      <c r="D36" t="s">
        <v>49</v>
      </c>
      <c r="E36" s="7" t="s">
        <v>49</v>
      </c>
      <c r="F36" t="s">
        <v>49</v>
      </c>
      <c r="G36" t="s">
        <v>49</v>
      </c>
      <c r="H36" t="s">
        <v>49</v>
      </c>
      <c r="I36" t="s">
        <v>49</v>
      </c>
      <c r="J36" t="s">
        <v>49</v>
      </c>
      <c r="K36" t="s">
        <v>49</v>
      </c>
      <c r="L36" t="s">
        <v>49</v>
      </c>
      <c r="M36" t="s">
        <v>49</v>
      </c>
      <c r="N36" t="s">
        <v>49</v>
      </c>
      <c r="O36" t="s">
        <v>49</v>
      </c>
      <c r="P36" t="s">
        <v>50</v>
      </c>
    </row>
    <row r="37" spans="1:16" x14ac:dyDescent="0.2">
      <c r="A37" t="s">
        <v>51</v>
      </c>
      <c r="B37">
        <v>2</v>
      </c>
      <c r="C37" s="6">
        <v>3</v>
      </c>
      <c r="D37">
        <v>3</v>
      </c>
      <c r="E37" s="7">
        <v>2</v>
      </c>
      <c r="F37">
        <v>2</v>
      </c>
      <c r="G37">
        <v>3</v>
      </c>
      <c r="H37">
        <v>0</v>
      </c>
      <c r="I37">
        <v>2</v>
      </c>
      <c r="J37">
        <v>0</v>
      </c>
      <c r="K37">
        <v>5</v>
      </c>
      <c r="L37">
        <v>2</v>
      </c>
      <c r="M37">
        <v>2</v>
      </c>
      <c r="N37">
        <v>2</v>
      </c>
      <c r="O37">
        <v>3</v>
      </c>
      <c r="P37">
        <v>3</v>
      </c>
    </row>
    <row r="38" spans="1:16" x14ac:dyDescent="0.2">
      <c r="A38" t="s">
        <v>25</v>
      </c>
      <c r="B38">
        <v>2025</v>
      </c>
      <c r="C38" s="6">
        <v>2025</v>
      </c>
      <c r="D38">
        <v>2025</v>
      </c>
      <c r="E38" s="7">
        <v>2025</v>
      </c>
      <c r="F38">
        <v>2025</v>
      </c>
      <c r="G38">
        <v>2025</v>
      </c>
      <c r="H38">
        <v>2025</v>
      </c>
      <c r="I38">
        <v>2025</v>
      </c>
      <c r="J38">
        <v>2025</v>
      </c>
      <c r="K38">
        <v>2025</v>
      </c>
      <c r="L38">
        <v>2025</v>
      </c>
      <c r="M38">
        <v>2025</v>
      </c>
      <c r="N38">
        <v>2025</v>
      </c>
      <c r="O38">
        <v>2025</v>
      </c>
      <c r="P38">
        <v>2025</v>
      </c>
    </row>
    <row r="39" spans="1:16" x14ac:dyDescent="0.2">
      <c r="A39" t="s">
        <v>26</v>
      </c>
      <c r="B39" t="s">
        <v>79</v>
      </c>
      <c r="C39" s="6" t="s">
        <v>80</v>
      </c>
      <c r="D39" t="s">
        <v>81</v>
      </c>
      <c r="E39" s="7" t="s">
        <v>82</v>
      </c>
      <c r="F39" t="s">
        <v>83</v>
      </c>
      <c r="G39" t="s">
        <v>84</v>
      </c>
      <c r="H39" t="s">
        <v>85</v>
      </c>
      <c r="I39" t="s">
        <v>86</v>
      </c>
      <c r="J39" t="s">
        <v>87</v>
      </c>
      <c r="K39" t="s">
        <v>88</v>
      </c>
      <c r="L39" t="s">
        <v>89</v>
      </c>
      <c r="M39" t="s">
        <v>90</v>
      </c>
      <c r="N39" t="s">
        <v>91</v>
      </c>
      <c r="O39" t="s">
        <v>92</v>
      </c>
      <c r="P39" t="s">
        <v>93</v>
      </c>
    </row>
    <row r="50" spans="1:28" ht="19" x14ac:dyDescent="0.25">
      <c r="A50" s="16" t="s">
        <v>94</v>
      </c>
    </row>
    <row r="51" spans="1:28" x14ac:dyDescent="0.2">
      <c r="A51" s="17" t="s">
        <v>95</v>
      </c>
      <c r="B51" s="17" t="s">
        <v>96</v>
      </c>
      <c r="C51" s="17" t="s">
        <v>96</v>
      </c>
      <c r="D51" s="17" t="s">
        <v>96</v>
      </c>
      <c r="E51" s="17" t="s">
        <v>96</v>
      </c>
      <c r="F51" s="17" t="s">
        <v>96</v>
      </c>
      <c r="G51" s="17" t="s">
        <v>96</v>
      </c>
      <c r="H51" s="17" t="s">
        <v>96</v>
      </c>
      <c r="I51" s="17" t="s">
        <v>97</v>
      </c>
      <c r="J51" s="17" t="s">
        <v>97</v>
      </c>
      <c r="K51" s="17" t="s">
        <v>98</v>
      </c>
      <c r="L51" s="17" t="s">
        <v>98</v>
      </c>
      <c r="M51" s="17" t="s">
        <v>98</v>
      </c>
      <c r="N51" s="17" t="s">
        <v>99</v>
      </c>
      <c r="O51" s="17" t="s">
        <v>99</v>
      </c>
      <c r="P51" s="17" t="s">
        <v>99</v>
      </c>
      <c r="Q51" s="17" t="s">
        <v>99</v>
      </c>
      <c r="R51" s="17" t="s">
        <v>99</v>
      </c>
      <c r="S51" s="17" t="s">
        <v>99</v>
      </c>
      <c r="T51" s="17" t="s">
        <v>99</v>
      </c>
      <c r="U51" s="17" t="s">
        <v>99</v>
      </c>
      <c r="V51" s="17" t="s">
        <v>99</v>
      </c>
      <c r="W51" s="17" t="s">
        <v>99</v>
      </c>
      <c r="X51" s="17" t="s">
        <v>99</v>
      </c>
      <c r="Y51" s="17" t="s">
        <v>99</v>
      </c>
      <c r="Z51" s="17" t="s">
        <v>99</v>
      </c>
      <c r="AA51" s="17" t="s">
        <v>99</v>
      </c>
      <c r="AB51" s="17" t="s">
        <v>99</v>
      </c>
    </row>
    <row r="52" spans="1:28" x14ac:dyDescent="0.2">
      <c r="A52" t="s">
        <v>100</v>
      </c>
      <c r="B52" t="s">
        <v>12</v>
      </c>
      <c r="C52" s="7" t="s">
        <v>13</v>
      </c>
      <c r="D52" t="s">
        <v>14</v>
      </c>
      <c r="E52" t="s">
        <v>15</v>
      </c>
      <c r="F52" t="s">
        <v>16</v>
      </c>
      <c r="G52" t="s">
        <v>17</v>
      </c>
      <c r="H52" t="s">
        <v>18</v>
      </c>
      <c r="I52" t="s">
        <v>35</v>
      </c>
      <c r="J52" t="s">
        <v>36</v>
      </c>
      <c r="K52" t="s">
        <v>42</v>
      </c>
      <c r="L52" t="s">
        <v>43</v>
      </c>
      <c r="M52" t="s">
        <v>44</v>
      </c>
      <c r="N52" t="s">
        <v>54</v>
      </c>
      <c r="O52" t="s">
        <v>55</v>
      </c>
      <c r="P52" t="s">
        <v>56</v>
      </c>
      <c r="Q52" t="s">
        <v>57</v>
      </c>
      <c r="R52" t="s">
        <v>58</v>
      </c>
      <c r="S52" t="s">
        <v>59</v>
      </c>
      <c r="T52" t="s">
        <v>60</v>
      </c>
      <c r="U52" t="s">
        <v>61</v>
      </c>
      <c r="V52" t="s">
        <v>62</v>
      </c>
      <c r="W52" t="s">
        <v>63</v>
      </c>
      <c r="X52" t="s">
        <v>64</v>
      </c>
      <c r="Y52" t="s">
        <v>65</v>
      </c>
      <c r="Z52" t="s">
        <v>66</v>
      </c>
      <c r="AA52" t="s">
        <v>67</v>
      </c>
      <c r="AB52" t="s">
        <v>68</v>
      </c>
    </row>
    <row r="53" spans="1:28" x14ac:dyDescent="0.2">
      <c r="A53" t="s">
        <v>101</v>
      </c>
      <c r="B53">
        <v>2.5</v>
      </c>
      <c r="C53" s="7">
        <v>2.5</v>
      </c>
      <c r="D53">
        <v>4</v>
      </c>
      <c r="E53">
        <v>4</v>
      </c>
      <c r="F53">
        <v>6</v>
      </c>
      <c r="G53">
        <v>3</v>
      </c>
      <c r="H53">
        <v>2</v>
      </c>
      <c r="I53">
        <v>4.5</v>
      </c>
      <c r="J53">
        <v>26</v>
      </c>
      <c r="K53">
        <v>4</v>
      </c>
      <c r="L53">
        <v>3</v>
      </c>
      <c r="M53">
        <v>0</v>
      </c>
      <c r="N53">
        <v>2</v>
      </c>
      <c r="O53">
        <v>3</v>
      </c>
      <c r="P53">
        <v>3</v>
      </c>
      <c r="Q53">
        <v>2</v>
      </c>
      <c r="R53">
        <v>2</v>
      </c>
      <c r="S53">
        <v>3</v>
      </c>
      <c r="T53">
        <v>0</v>
      </c>
      <c r="U53">
        <v>2</v>
      </c>
      <c r="V53">
        <v>0</v>
      </c>
      <c r="W53">
        <v>5</v>
      </c>
      <c r="X53">
        <v>2</v>
      </c>
      <c r="Y53">
        <v>2</v>
      </c>
      <c r="Z53">
        <v>2</v>
      </c>
      <c r="AA53">
        <v>3</v>
      </c>
      <c r="AB53">
        <v>3</v>
      </c>
    </row>
    <row r="54" spans="1:28" x14ac:dyDescent="0.2">
      <c r="A54" t="s">
        <v>102</v>
      </c>
      <c r="B54" t="s">
        <v>103</v>
      </c>
      <c r="C54" s="7" t="s">
        <v>103</v>
      </c>
      <c r="D54" t="s">
        <v>103</v>
      </c>
      <c r="E54" t="s">
        <v>103</v>
      </c>
      <c r="F54" t="s">
        <v>103</v>
      </c>
      <c r="G54" t="s">
        <v>103</v>
      </c>
      <c r="H54" t="s">
        <v>103</v>
      </c>
      <c r="I54" t="s">
        <v>104</v>
      </c>
      <c r="J54" t="s">
        <v>104</v>
      </c>
      <c r="K54" t="s">
        <v>103</v>
      </c>
      <c r="L54" t="s">
        <v>103</v>
      </c>
      <c r="M54" t="s">
        <v>105</v>
      </c>
      <c r="N54" t="s">
        <v>103</v>
      </c>
      <c r="O54" t="s">
        <v>103</v>
      </c>
      <c r="P54" t="s">
        <v>103</v>
      </c>
      <c r="Q54" t="s">
        <v>103</v>
      </c>
      <c r="R54" t="s">
        <v>103</v>
      </c>
      <c r="S54" t="s">
        <v>103</v>
      </c>
      <c r="T54" t="s">
        <v>105</v>
      </c>
      <c r="U54" t="s">
        <v>103</v>
      </c>
      <c r="V54" t="s">
        <v>105</v>
      </c>
      <c r="W54" t="s">
        <v>103</v>
      </c>
      <c r="X54" t="s">
        <v>103</v>
      </c>
      <c r="Y54" t="s">
        <v>103</v>
      </c>
      <c r="Z54" t="s">
        <v>103</v>
      </c>
      <c r="AA54" t="s">
        <v>103</v>
      </c>
      <c r="AB54" t="s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854C-EA14-3E44-BA34-7677C250F162}">
  <dimension ref="B2:AC58"/>
  <sheetViews>
    <sheetView tabSelected="1" zoomScale="110" zoomScaleNormal="110" workbookViewId="0">
      <selection activeCell="D28" sqref="D28:F28"/>
    </sheetView>
  </sheetViews>
  <sheetFormatPr baseColWidth="10" defaultRowHeight="15" x14ac:dyDescent="0.2"/>
  <cols>
    <col min="2" max="2" width="8.5" bestFit="1" customWidth="1"/>
    <col min="3" max="3" width="18.83203125" bestFit="1" customWidth="1"/>
    <col min="4" max="4" width="10.6640625" bestFit="1" customWidth="1"/>
    <col min="5" max="6" width="11.1640625" bestFit="1" customWidth="1"/>
  </cols>
  <sheetData>
    <row r="2" spans="2:29" x14ac:dyDescent="0.2">
      <c r="E2" t="s">
        <v>110</v>
      </c>
    </row>
    <row r="3" spans="2:29" x14ac:dyDescent="0.2">
      <c r="D3" t="s">
        <v>111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2</v>
      </c>
    </row>
    <row r="4" spans="2:29" x14ac:dyDescent="0.2">
      <c r="B4" t="s">
        <v>126</v>
      </c>
      <c r="F4" t="s">
        <v>112</v>
      </c>
      <c r="G4" t="s">
        <v>113</v>
      </c>
      <c r="H4" t="s">
        <v>114</v>
      </c>
      <c r="I4" t="s">
        <v>115</v>
      </c>
      <c r="J4" t="s">
        <v>116</v>
      </c>
      <c r="K4" t="s">
        <v>117</v>
      </c>
      <c r="L4" t="s">
        <v>118</v>
      </c>
      <c r="M4" t="s">
        <v>119</v>
      </c>
      <c r="N4" t="s">
        <v>120</v>
      </c>
      <c r="O4" t="s">
        <v>121</v>
      </c>
      <c r="P4" t="s">
        <v>122</v>
      </c>
      <c r="Q4" t="s">
        <v>123</v>
      </c>
      <c r="R4" t="s">
        <v>112</v>
      </c>
      <c r="S4" t="s">
        <v>113</v>
      </c>
      <c r="T4" t="s">
        <v>114</v>
      </c>
      <c r="U4" t="s">
        <v>115</v>
      </c>
      <c r="V4" t="s">
        <v>116</v>
      </c>
      <c r="W4" t="s">
        <v>117</v>
      </c>
      <c r="X4" t="s">
        <v>118</v>
      </c>
      <c r="Y4" t="s">
        <v>119</v>
      </c>
      <c r="Z4" t="s">
        <v>120</v>
      </c>
      <c r="AA4" t="s">
        <v>121</v>
      </c>
      <c r="AB4" t="s">
        <v>122</v>
      </c>
      <c r="AC4" t="s">
        <v>123</v>
      </c>
    </row>
    <row r="5" spans="2:29" x14ac:dyDescent="0.2">
      <c r="C5" s="21" t="s">
        <v>125</v>
      </c>
    </row>
    <row r="6" spans="2:29" x14ac:dyDescent="0.2">
      <c r="C6" t="s">
        <v>106</v>
      </c>
      <c r="D6" s="19">
        <v>2.5</v>
      </c>
      <c r="E6" s="18">
        <v>25000</v>
      </c>
      <c r="F6" s="18">
        <f>(1+(POWER(1+$D6/100,1/12)-1)) * E6</f>
        <v>25051.49590674607</v>
      </c>
      <c r="G6" s="18">
        <f>(1+(POWER(1+$D6/100,1/12)-1)) * F6</f>
        <v>25103.097886628602</v>
      </c>
      <c r="H6" s="18">
        <f>(1+(POWER(1+$D6/100,1/12)-1)) * G6</f>
        <v>25154.806158140891</v>
      </c>
      <c r="I6" s="18">
        <f t="shared" ref="I6:Q6" si="0">(1+(POWER(1+$D6/100,1/12)-1)) * H6</f>
        <v>25206.620940226294</v>
      </c>
      <c r="J6" s="18">
        <f t="shared" si="0"/>
        <v>25258.542452279151</v>
      </c>
      <c r="K6" s="18">
        <f t="shared" si="0"/>
        <v>25310.570914145719</v>
      </c>
      <c r="L6" s="18">
        <f t="shared" si="0"/>
        <v>25362.706546125104</v>
      </c>
      <c r="M6" s="18">
        <f t="shared" si="0"/>
        <v>25414.949568970191</v>
      </c>
      <c r="N6" s="18">
        <f t="shared" si="0"/>
        <v>25467.300203888579</v>
      </c>
      <c r="O6" s="18">
        <f t="shared" si="0"/>
        <v>25519.758672543521</v>
      </c>
      <c r="P6" s="18">
        <f t="shared" si="0"/>
        <v>25572.325197054859</v>
      </c>
      <c r="Q6" s="18">
        <f t="shared" si="0"/>
        <v>25624.999999999967</v>
      </c>
    </row>
    <row r="7" spans="2:29" x14ac:dyDescent="0.2">
      <c r="C7" t="s">
        <v>16</v>
      </c>
      <c r="D7" s="19">
        <v>6</v>
      </c>
      <c r="E7" s="18">
        <v>35000</v>
      </c>
      <c r="F7" s="18">
        <f t="shared" ref="F7:Q9" si="1">(1+(POWER(1+$D7/100,1/12)-1)) * E7</f>
        <v>35170.364269787009</v>
      </c>
      <c r="G7" s="18">
        <f t="shared" si="1"/>
        <v>35341.557796271729</v>
      </c>
      <c r="H7" s="18">
        <f t="shared" si="1"/>
        <v>35513.584615903077</v>
      </c>
      <c r="I7" s="18">
        <f t="shared" si="1"/>
        <v>35686.448784777574</v>
      </c>
      <c r="J7" s="18">
        <f t="shared" si="1"/>
        <v>35860.154378735002</v>
      </c>
      <c r="K7" s="18">
        <f t="shared" si="1"/>
        <v>36034.705493454501</v>
      </c>
      <c r="L7" s="18">
        <f t="shared" si="1"/>
        <v>36210.106244551134</v>
      </c>
      <c r="M7" s="18">
        <f t="shared" si="1"/>
        <v>36386.36076767293</v>
      </c>
      <c r="N7" s="18">
        <f t="shared" si="1"/>
        <v>36563.473218598396</v>
      </c>
      <c r="O7" s="18">
        <f t="shared" si="1"/>
        <v>36741.44777333449</v>
      </c>
      <c r="P7" s="18">
        <f t="shared" si="1"/>
        <v>36920.288628215108</v>
      </c>
      <c r="Q7" s="18">
        <f t="shared" si="1"/>
        <v>37100.000000000007</v>
      </c>
    </row>
    <row r="8" spans="2:29" x14ac:dyDescent="0.2">
      <c r="C8" t="s">
        <v>17</v>
      </c>
      <c r="D8" s="19">
        <v>3</v>
      </c>
      <c r="E8" s="18">
        <v>20000</v>
      </c>
      <c r="F8" s="18">
        <f t="shared" si="1"/>
        <v>20049.325395446074</v>
      </c>
      <c r="G8" s="18">
        <f t="shared" si="1"/>
        <v>20098.772440623943</v>
      </c>
      <c r="H8" s="18">
        <f t="shared" si="1"/>
        <v>20148.341435554663</v>
      </c>
      <c r="I8" s="18">
        <f t="shared" si="1"/>
        <v>20198.032680999226</v>
      </c>
      <c r="J8" s="18">
        <f t="shared" si="1"/>
        <v>20247.846478460375</v>
      </c>
      <c r="K8" s="18">
        <f t="shared" si="1"/>
        <v>20297.783130184449</v>
      </c>
      <c r="L8" s="18">
        <f t="shared" si="1"/>
        <v>20347.842939163198</v>
      </c>
      <c r="M8" s="18">
        <f t="shared" si="1"/>
        <v>20398.026209135638</v>
      </c>
      <c r="N8" s="18">
        <f t="shared" si="1"/>
        <v>20448.333244589889</v>
      </c>
      <c r="O8" s="18">
        <f t="shared" si="1"/>
        <v>20498.764350765014</v>
      </c>
      <c r="P8" s="18">
        <f t="shared" si="1"/>
        <v>20549.31983365288</v>
      </c>
      <c r="Q8" s="18">
        <f t="shared" si="1"/>
        <v>20600.000000000018</v>
      </c>
    </row>
    <row r="9" spans="2:29" x14ac:dyDescent="0.2">
      <c r="C9" t="s">
        <v>18</v>
      </c>
      <c r="D9" s="19">
        <v>2</v>
      </c>
      <c r="E9" s="18">
        <v>18000</v>
      </c>
      <c r="F9" s="18">
        <f t="shared" si="1"/>
        <v>18029.728463434563</v>
      </c>
      <c r="G9" s="18">
        <f t="shared" si="1"/>
        <v>18059.506025843471</v>
      </c>
      <c r="H9" s="18">
        <f t="shared" si="1"/>
        <v>18089.332768317669</v>
      </c>
      <c r="I9" s="18">
        <f t="shared" si="1"/>
        <v>18119.208772082035</v>
      </c>
      <c r="J9" s="18">
        <f t="shared" si="1"/>
        <v>18149.134118495593</v>
      </c>
      <c r="K9" s="18">
        <f t="shared" si="1"/>
        <v>18179.108889051742</v>
      </c>
      <c r="L9" s="18">
        <f t="shared" si="1"/>
        <v>18209.133165378473</v>
      </c>
      <c r="M9" s="18">
        <f t="shared" si="1"/>
        <v>18239.207029238587</v>
      </c>
      <c r="N9" s="18">
        <f t="shared" si="1"/>
        <v>18269.330562529929</v>
      </c>
      <c r="O9" s="18">
        <f t="shared" si="1"/>
        <v>18299.503847285603</v>
      </c>
      <c r="P9" s="18">
        <f t="shared" si="1"/>
        <v>18329.726965674196</v>
      </c>
      <c r="Q9" s="18">
        <f t="shared" si="1"/>
        <v>18360.000000000007</v>
      </c>
    </row>
    <row r="10" spans="2:29" x14ac:dyDescent="0.2">
      <c r="C10" t="s">
        <v>125</v>
      </c>
      <c r="F10" s="20">
        <f>F52</f>
        <v>3541.6666666666665</v>
      </c>
      <c r="G10" s="20">
        <f t="shared" ref="G10:Q10" si="2">G52</f>
        <v>3541.6666666666665</v>
      </c>
      <c r="H10" s="20">
        <f t="shared" si="2"/>
        <v>3541.6666666666665</v>
      </c>
      <c r="I10" s="20">
        <f t="shared" si="2"/>
        <v>3541.6666666666665</v>
      </c>
      <c r="J10" s="20">
        <f t="shared" si="2"/>
        <v>3541.6666666666665</v>
      </c>
      <c r="K10" s="20">
        <f t="shared" si="2"/>
        <v>3541.6666666666665</v>
      </c>
      <c r="L10" s="20">
        <f t="shared" si="2"/>
        <v>3541.6666666666665</v>
      </c>
      <c r="M10" s="20">
        <f t="shared" si="2"/>
        <v>3541.6666666666665</v>
      </c>
      <c r="N10" s="20">
        <f t="shared" si="2"/>
        <v>3541.6666666666665</v>
      </c>
      <c r="O10" s="20">
        <f t="shared" si="2"/>
        <v>3541.6666666666665</v>
      </c>
      <c r="P10" s="20">
        <f t="shared" si="2"/>
        <v>3541.6666666666665</v>
      </c>
      <c r="Q10" s="20">
        <f t="shared" si="2"/>
        <v>3541.6666666666665</v>
      </c>
    </row>
    <row r="11" spans="2:29" x14ac:dyDescent="0.2"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2:29" x14ac:dyDescent="0.2">
      <c r="B12" t="s">
        <v>134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2:29" x14ac:dyDescent="0.2">
      <c r="C13" t="s">
        <v>107</v>
      </c>
      <c r="D13" s="19">
        <v>2.5</v>
      </c>
      <c r="E13" s="18">
        <v>85000</v>
      </c>
      <c r="F13" s="18">
        <f>(1+(POWER(1+$D13/100,1/12)-1)) * E13</f>
        <v>85175.086082936628</v>
      </c>
      <c r="G13" s="18">
        <f>(1+(POWER(1+$D13/100,1/12)-1)) * F13</f>
        <v>85350.532814537233</v>
      </c>
      <c r="H13" s="18">
        <f>(1+(POWER(1+$D13/100,1/12)-1)) * G13</f>
        <v>85526.340937679022</v>
      </c>
      <c r="I13" s="18">
        <f>(1+(POWER(1+$D13/100,1/12)-1)) * H13</f>
        <v>85702.511196769396</v>
      </c>
      <c r="J13" s="18">
        <f>(1+(POWER(1+$D13/100,1/12)-1)) * I13</f>
        <v>85879.044337749103</v>
      </c>
      <c r="K13" s="18">
        <f>(1+(POWER(1+$D13/100,1/12)-1)) * J13</f>
        <v>86055.941108095431</v>
      </c>
      <c r="L13" s="18">
        <f>(1+(POWER(1+$D13/100,1/12)-1)) * K13</f>
        <v>86233.202256825331</v>
      </c>
      <c r="M13" s="18">
        <f>(1+(POWER(1+$D13/100,1/12)-1)) * L13</f>
        <v>86410.828534498622</v>
      </c>
      <c r="N13" s="18">
        <f>(1+(POWER(1+$D13/100,1/12)-1)) * M13</f>
        <v>86588.820693221147</v>
      </c>
      <c r="O13" s="18">
        <f>(1+(POWER(1+$D13/100,1/12)-1)) * N13</f>
        <v>86767.179486647947</v>
      </c>
      <c r="P13" s="18">
        <f>(1+(POWER(1+$D13/100,1/12)-1)) * O13</f>
        <v>86945.905669986503</v>
      </c>
      <c r="Q13" s="18">
        <f>(1+(POWER(1+$D13/100,1/12)-1)) * P13</f>
        <v>87124.999999999869</v>
      </c>
    </row>
    <row r="14" spans="2:29" x14ac:dyDescent="0.2">
      <c r="C14" t="s">
        <v>108</v>
      </c>
      <c r="D14" s="19">
        <v>4</v>
      </c>
      <c r="E14" s="18">
        <v>45000</v>
      </c>
      <c r="F14" s="18">
        <f>(1+(POWER(1+$D14/100,1/12)-1)) * E14</f>
        <v>45147.318290198949</v>
      </c>
      <c r="G14" s="18">
        <f>(1+(POWER(1+$D14/100,1/12)-1)) * F14</f>
        <v>45295.118862145173</v>
      </c>
      <c r="H14" s="18">
        <f>(1+(POWER(1+$D14/100,1/12)-1)) * G14</f>
        <v>45443.403294703603</v>
      </c>
      <c r="I14" s="18">
        <f>(1+(POWER(1+$D14/100,1/12)-1)) * H14</f>
        <v>45592.173171907983</v>
      </c>
      <c r="J14" s="18">
        <f>(1+(POWER(1+$D14/100,1/12)-1)) * I14</f>
        <v>45741.430082977764</v>
      </c>
      <c r="K14" s="18">
        <f>(1+(POWER(1+$D14/100,1/12)-1)) * J14</f>
        <v>45891.175622335075</v>
      </c>
      <c r="L14" s="18">
        <f>(1+(POWER(1+$D14/100,1/12)-1)) * K14</f>
        <v>46041.41138962179</v>
      </c>
      <c r="M14" s="18">
        <f>(1+(POWER(1+$D14/100,1/12)-1)) * L14</f>
        <v>46192.138989716579</v>
      </c>
      <c r="N14" s="18">
        <f>(1+(POWER(1+$D14/100,1/12)-1)) * M14</f>
        <v>46343.360032752076</v>
      </c>
      <c r="O14" s="18">
        <f>(1+(POWER(1+$D14/100,1/12)-1)) * N14</f>
        <v>46495.076134132061</v>
      </c>
      <c r="P14" s="18">
        <f>(1+(POWER(1+$D14/100,1/12)-1)) * O14</f>
        <v>46647.288914548735</v>
      </c>
      <c r="Q14" s="18">
        <f>(1+(POWER(1+$D14/100,1/12)-1)) * P14</f>
        <v>46800.000000000022</v>
      </c>
    </row>
    <row r="15" spans="2:29" x14ac:dyDescent="0.2">
      <c r="C15" t="s">
        <v>109</v>
      </c>
      <c r="D15" s="19">
        <v>4</v>
      </c>
      <c r="E15" s="18">
        <v>32000</v>
      </c>
      <c r="F15" s="18">
        <f>(1+(POWER(1+$D15/100,1/12)-1)) * E15</f>
        <v>32104.759673030367</v>
      </c>
      <c r="G15" s="18">
        <f>(1+(POWER(1+$D15/100,1/12)-1)) * F15</f>
        <v>32209.862301969901</v>
      </c>
      <c r="H15" s="18">
        <f>(1+(POWER(1+$D15/100,1/12)-1)) * G15</f>
        <v>32315.309009567009</v>
      </c>
      <c r="I15" s="18">
        <f>(1+(POWER(1+$D15/100,1/12)-1)) * H15</f>
        <v>32421.100922245678</v>
      </c>
      <c r="J15" s="18">
        <f>(1+(POWER(1+$D15/100,1/12)-1)) * I15</f>
        <v>32527.239170117518</v>
      </c>
      <c r="K15" s="18">
        <f>(1+(POWER(1+$D15/100,1/12)-1)) * J15</f>
        <v>32633.72488699383</v>
      </c>
      <c r="L15" s="18">
        <f>(1+(POWER(1+$D15/100,1/12)-1)) * K15</f>
        <v>32740.559210397718</v>
      </c>
      <c r="M15" s="18">
        <f>(1+(POWER(1+$D15/100,1/12)-1)) * L15</f>
        <v>32847.743281576237</v>
      </c>
      <c r="N15" s="18">
        <f>(1+(POWER(1+$D15/100,1/12)-1)) * M15</f>
        <v>32955.278245512593</v>
      </c>
      <c r="O15" s="18">
        <f>(1+(POWER(1+$D15/100,1/12)-1)) * N15</f>
        <v>33063.165250938364</v>
      </c>
      <c r="P15" s="18">
        <f>(1+(POWER(1+$D15/100,1/12)-1)) * O15</f>
        <v>33171.405450345781</v>
      </c>
      <c r="Q15" s="18">
        <f>(1+(POWER(1+$D15/100,1/12)-1)) * P15</f>
        <v>33280.000000000029</v>
      </c>
    </row>
    <row r="16" spans="2:29" x14ac:dyDescent="0.2"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spans="2:17" x14ac:dyDescent="0.2">
      <c r="C17" t="s">
        <v>124</v>
      </c>
      <c r="E17" s="18">
        <f>SUM(E6:E9)</f>
        <v>98000</v>
      </c>
      <c r="F17" s="18">
        <f>SUM(F6:F10)</f>
        <v>101842.58070208038</v>
      </c>
      <c r="G17" s="18">
        <f>SUM(G6:G9)</f>
        <v>98602.934149367735</v>
      </c>
      <c r="H17" s="18">
        <f>SUM(H6:H9)</f>
        <v>98906.064977916307</v>
      </c>
      <c r="I17" s="18">
        <f>SUM(I6:I9)</f>
        <v>99210.311178085132</v>
      </c>
      <c r="J17" s="18">
        <f>SUM(J6:J9)</f>
        <v>99515.67742797012</v>
      </c>
      <c r="K17" s="18">
        <f>SUM(K6:K9)</f>
        <v>99822.168426836404</v>
      </c>
      <c r="L17" s="18">
        <f>SUM(L6:L9)</f>
        <v>100129.78889521791</v>
      </c>
      <c r="M17" s="18">
        <f>SUM(M6:M9)</f>
        <v>100438.54357501735</v>
      </c>
      <c r="N17" s="18">
        <f>SUM(N6:N9)</f>
        <v>100748.43722960679</v>
      </c>
      <c r="O17" s="18">
        <f>SUM(O6:O9)</f>
        <v>101059.47464392864</v>
      </c>
      <c r="P17" s="18">
        <f>SUM(P6:P9)</f>
        <v>101371.66062459705</v>
      </c>
      <c r="Q17" s="18">
        <f>SUM(Q6:Q9)</f>
        <v>101685</v>
      </c>
    </row>
    <row r="19" spans="2:17" x14ac:dyDescent="0.2">
      <c r="B19" t="s">
        <v>127</v>
      </c>
    </row>
    <row r="20" spans="2:17" x14ac:dyDescent="0.2">
      <c r="C20" t="s">
        <v>35</v>
      </c>
      <c r="D20" s="19">
        <v>4</v>
      </c>
      <c r="E20">
        <v>8000</v>
      </c>
      <c r="F20" s="18">
        <f>(1+(POWER(1+$D6/100,1/12)-1)) *E20</f>
        <v>8016.4786901587422</v>
      </c>
      <c r="G20" s="18">
        <f>(1+(POWER(1+$D6/100,1/12)-1)) *F20</f>
        <v>8032.9913237211522</v>
      </c>
      <c r="H20" s="18">
        <f>(1+(POWER(1+$D6/100,1/12)-1)) *G20</f>
        <v>8049.5379706050853</v>
      </c>
      <c r="I20" s="18">
        <f>(1+(POWER(1+$D6/100,1/12)-1)) *H20</f>
        <v>8066.1187008724137</v>
      </c>
      <c r="J20" s="18">
        <f>(1+(POWER(1+$D6/100,1/12)-1)) *I20</f>
        <v>8082.733584729327</v>
      </c>
      <c r="K20" s="18">
        <f>(1+(POWER(1+$D6/100,1/12)-1)) *J20</f>
        <v>8099.3826925266285</v>
      </c>
      <c r="L20" s="18">
        <f>(1+(POWER(1+$D6/100,1/12)-1)) *K20</f>
        <v>8116.0660947600318</v>
      </c>
      <c r="M20" s="18">
        <f>(1+(POWER(1+$D6/100,1/12)-1)) *L20</f>
        <v>8132.7838620704597</v>
      </c>
      <c r="N20" s="18">
        <f>(1+(POWER(1+$D6/100,1/12)-1)) *M20</f>
        <v>8149.5360652443442</v>
      </c>
      <c r="O20" s="18">
        <f>(1+(POWER(1+$D6/100,1/12)-1)) *N20</f>
        <v>8166.3227752139255</v>
      </c>
      <c r="P20" s="18">
        <f>(1+(POWER(1+$D6/100,1/12)-1)) *O20</f>
        <v>8183.1440630575544</v>
      </c>
      <c r="Q20" s="18">
        <f>(1+(POWER(1+$D6/100,1/12)-1)) *P20</f>
        <v>8199.9999999999891</v>
      </c>
    </row>
    <row r="21" spans="2:17" x14ac:dyDescent="0.2">
      <c r="C21" t="s">
        <v>36</v>
      </c>
      <c r="D21" s="19">
        <v>26</v>
      </c>
      <c r="E21">
        <v>800</v>
      </c>
      <c r="F21" s="18">
        <f>(1+(POWER(1+$D13/100,1/12)-1)) *E21</f>
        <v>801.64786901587422</v>
      </c>
      <c r="G21" s="18">
        <f>(1+(POWER(1+$D13/100,1/12)-1)) *F21</f>
        <v>803.29913237211531</v>
      </c>
      <c r="H21" s="18">
        <f>(1+(POWER(1+$D13/100,1/12)-1)) *G21</f>
        <v>804.95379706050858</v>
      </c>
      <c r="I21" s="18">
        <f>(1+(POWER(1+$D13/100,1/12)-1)) *H21</f>
        <v>806.61187008724141</v>
      </c>
      <c r="J21" s="18">
        <f>(1+(POWER(1+$D13/100,1/12)-1)) *I21</f>
        <v>808.27335847293284</v>
      </c>
      <c r="K21" s="18">
        <f>(1+(POWER(1+$D13/100,1/12)-1)) *J21</f>
        <v>809.93826925266296</v>
      </c>
      <c r="L21" s="18">
        <f>(1+(POWER(1+$D13/100,1/12)-1)) *K21</f>
        <v>811.6066094760032</v>
      </c>
      <c r="M21" s="18">
        <f>(1+(POWER(1+$D13/100,1/12)-1)) *L21</f>
        <v>813.27838620704597</v>
      </c>
      <c r="N21" s="18">
        <f>(1+(POWER(1+$D13/100,1/12)-1)) *M21</f>
        <v>814.95360652443446</v>
      </c>
      <c r="O21" s="18">
        <f>(1+(POWER(1+$D13/100,1/12)-1)) *N21</f>
        <v>816.63227752139267</v>
      </c>
      <c r="P21" s="18">
        <f>(1+(POWER(1+$D13/100,1/12)-1)) *O21</f>
        <v>818.31440630575548</v>
      </c>
      <c r="Q21" s="18">
        <f>(1+(POWER(1+$D13/100,1/12)-1)) *P21</f>
        <v>819.99999999999886</v>
      </c>
    </row>
    <row r="22" spans="2:17" x14ac:dyDescent="0.2">
      <c r="C22" t="s">
        <v>128</v>
      </c>
      <c r="E22" s="18">
        <f>SUM(E20:E21)</f>
        <v>8800</v>
      </c>
      <c r="F22" s="18">
        <f t="shared" ref="F22:Q22" si="3">SUM(F20:F21)</f>
        <v>8818.126559174616</v>
      </c>
      <c r="G22" s="18">
        <f t="shared" si="3"/>
        <v>8836.2904560932675</v>
      </c>
      <c r="H22" s="18">
        <f t="shared" si="3"/>
        <v>8854.4917676655932</v>
      </c>
      <c r="I22" s="18">
        <f t="shared" si="3"/>
        <v>8872.7305709596549</v>
      </c>
      <c r="J22" s="18">
        <f t="shared" si="3"/>
        <v>8891.0069432022592</v>
      </c>
      <c r="K22" s="18">
        <f t="shared" si="3"/>
        <v>8909.3209617792909</v>
      </c>
      <c r="L22" s="18">
        <f t="shared" si="3"/>
        <v>8927.6727042360344</v>
      </c>
      <c r="M22" s="18">
        <f t="shared" si="3"/>
        <v>8946.0622482775052</v>
      </c>
      <c r="N22" s="18">
        <f t="shared" si="3"/>
        <v>8964.4896717687789</v>
      </c>
      <c r="O22" s="18">
        <f t="shared" si="3"/>
        <v>8982.9550527353185</v>
      </c>
      <c r="P22" s="18">
        <f t="shared" si="3"/>
        <v>9001.4584693633096</v>
      </c>
      <c r="Q22" s="18">
        <f t="shared" si="3"/>
        <v>9019.9999999999873</v>
      </c>
    </row>
    <row r="24" spans="2:17" x14ac:dyDescent="0.2">
      <c r="C24" t="s">
        <v>129</v>
      </c>
      <c r="E24" s="20">
        <f>E17-E22</f>
        <v>89200</v>
      </c>
      <c r="F24" s="20">
        <f t="shared" ref="F24:Q24" si="4">F17-F22</f>
        <v>93024.454142905757</v>
      </c>
      <c r="G24" s="20">
        <f t="shared" si="4"/>
        <v>89766.643693274469</v>
      </c>
      <c r="H24" s="20">
        <f t="shared" si="4"/>
        <v>90051.573210250717</v>
      </c>
      <c r="I24" s="20">
        <f t="shared" si="4"/>
        <v>90337.580607125477</v>
      </c>
      <c r="J24" s="20">
        <f t="shared" si="4"/>
        <v>90624.670484767863</v>
      </c>
      <c r="K24" s="20">
        <f t="shared" si="4"/>
        <v>90912.847465057115</v>
      </c>
      <c r="L24" s="20">
        <f t="shared" si="4"/>
        <v>91202.116190981877</v>
      </c>
      <c r="M24" s="20">
        <f t="shared" si="4"/>
        <v>91492.481326739842</v>
      </c>
      <c r="N24" s="20">
        <f t="shared" si="4"/>
        <v>91783.947557838008</v>
      </c>
      <c r="O24" s="20">
        <f t="shared" si="4"/>
        <v>92076.519591193326</v>
      </c>
      <c r="P24" s="20">
        <f t="shared" si="4"/>
        <v>92370.202155233739</v>
      </c>
      <c r="Q24" s="20">
        <f t="shared" si="4"/>
        <v>92665.000000000015</v>
      </c>
    </row>
    <row r="26" spans="2:17" x14ac:dyDescent="0.2">
      <c r="B26" t="s">
        <v>98</v>
      </c>
    </row>
    <row r="27" spans="2:17" x14ac:dyDescent="0.2">
      <c r="C27" t="s">
        <v>130</v>
      </c>
      <c r="E27" s="18">
        <v>90000</v>
      </c>
      <c r="F27" s="20">
        <f>$E$27/12</f>
        <v>7500</v>
      </c>
      <c r="G27" s="20">
        <f t="shared" ref="G27:Q27" si="5">$E$27/12</f>
        <v>7500</v>
      </c>
      <c r="H27" s="20">
        <f t="shared" si="5"/>
        <v>7500</v>
      </c>
      <c r="I27" s="20">
        <f t="shared" si="5"/>
        <v>7500</v>
      </c>
      <c r="J27" s="20">
        <f t="shared" si="5"/>
        <v>7500</v>
      </c>
      <c r="K27" s="20">
        <f t="shared" si="5"/>
        <v>7500</v>
      </c>
      <c r="L27" s="20">
        <f t="shared" si="5"/>
        <v>7500</v>
      </c>
      <c r="M27" s="20">
        <f t="shared" si="5"/>
        <v>7500</v>
      </c>
      <c r="N27" s="20">
        <f t="shared" si="5"/>
        <v>7500</v>
      </c>
      <c r="O27" s="20">
        <f t="shared" si="5"/>
        <v>7500</v>
      </c>
      <c r="P27" s="20">
        <f t="shared" si="5"/>
        <v>7500</v>
      </c>
      <c r="Q27" s="20">
        <f t="shared" si="5"/>
        <v>7500</v>
      </c>
    </row>
    <row r="28" spans="2:17" x14ac:dyDescent="0.2">
      <c r="E28" s="18"/>
      <c r="F28" s="20"/>
    </row>
    <row r="30" spans="2:17" x14ac:dyDescent="0.2">
      <c r="C30" t="s">
        <v>131</v>
      </c>
      <c r="E30" s="20">
        <f>SUM(E27:E28)</f>
        <v>90000</v>
      </c>
    </row>
    <row r="31" spans="2:17" x14ac:dyDescent="0.2">
      <c r="E31" s="20"/>
    </row>
    <row r="32" spans="2:17" x14ac:dyDescent="0.2">
      <c r="E32" s="20"/>
    </row>
    <row r="35" spans="2:17" x14ac:dyDescent="0.2">
      <c r="B35" t="s">
        <v>99</v>
      </c>
    </row>
    <row r="36" spans="2:17" x14ac:dyDescent="0.2">
      <c r="C36" t="s">
        <v>132</v>
      </c>
      <c r="E36" s="18">
        <v>14400</v>
      </c>
      <c r="F36" s="20">
        <f>$E36/12</f>
        <v>1200</v>
      </c>
      <c r="G36" s="20">
        <f t="shared" ref="G36:Q36" si="6">$E36/12</f>
        <v>1200</v>
      </c>
      <c r="H36" s="20">
        <f t="shared" si="6"/>
        <v>1200</v>
      </c>
      <c r="I36" s="20">
        <f t="shared" si="6"/>
        <v>1200</v>
      </c>
      <c r="J36" s="20">
        <f t="shared" si="6"/>
        <v>1200</v>
      </c>
      <c r="K36" s="20">
        <f t="shared" si="6"/>
        <v>1200</v>
      </c>
      <c r="L36" s="20">
        <f t="shared" si="6"/>
        <v>1200</v>
      </c>
      <c r="M36" s="20">
        <f t="shared" si="6"/>
        <v>1200</v>
      </c>
      <c r="N36" s="20">
        <f t="shared" si="6"/>
        <v>1200</v>
      </c>
      <c r="O36" s="20">
        <f t="shared" si="6"/>
        <v>1200</v>
      </c>
      <c r="P36" s="20">
        <f t="shared" si="6"/>
        <v>1200</v>
      </c>
      <c r="Q36" s="20">
        <f t="shared" si="6"/>
        <v>1200</v>
      </c>
    </row>
    <row r="37" spans="2:17" x14ac:dyDescent="0.2">
      <c r="C37" t="s">
        <v>56</v>
      </c>
      <c r="E37" s="18">
        <v>7200</v>
      </c>
      <c r="F37" s="20">
        <f t="shared" ref="F37:Q50" si="7">$E37/12</f>
        <v>600</v>
      </c>
      <c r="G37" s="20">
        <f t="shared" si="7"/>
        <v>600</v>
      </c>
      <c r="H37" s="20">
        <f t="shared" si="7"/>
        <v>600</v>
      </c>
      <c r="I37" s="20">
        <f t="shared" si="7"/>
        <v>600</v>
      </c>
      <c r="J37" s="20">
        <f t="shared" si="7"/>
        <v>600</v>
      </c>
      <c r="K37" s="20">
        <f t="shared" si="7"/>
        <v>600</v>
      </c>
      <c r="L37" s="20">
        <f t="shared" si="7"/>
        <v>600</v>
      </c>
      <c r="M37" s="20">
        <f t="shared" si="7"/>
        <v>600</v>
      </c>
      <c r="N37" s="20">
        <f t="shared" si="7"/>
        <v>600</v>
      </c>
      <c r="O37" s="20">
        <f t="shared" si="7"/>
        <v>600</v>
      </c>
      <c r="P37" s="20">
        <f t="shared" si="7"/>
        <v>600</v>
      </c>
      <c r="Q37" s="20">
        <f t="shared" si="7"/>
        <v>600</v>
      </c>
    </row>
    <row r="38" spans="2:17" x14ac:dyDescent="0.2">
      <c r="C38" t="s">
        <v>54</v>
      </c>
      <c r="E38" s="18">
        <v>6000</v>
      </c>
      <c r="F38" s="20">
        <f t="shared" si="7"/>
        <v>500</v>
      </c>
      <c r="G38" s="20">
        <f t="shared" si="7"/>
        <v>500</v>
      </c>
      <c r="H38" s="20">
        <f t="shared" si="7"/>
        <v>500</v>
      </c>
      <c r="I38" s="20">
        <f t="shared" si="7"/>
        <v>500</v>
      </c>
      <c r="J38" s="20">
        <f t="shared" si="7"/>
        <v>500</v>
      </c>
      <c r="K38" s="20">
        <f t="shared" si="7"/>
        <v>500</v>
      </c>
      <c r="L38" s="20">
        <f t="shared" si="7"/>
        <v>500</v>
      </c>
      <c r="M38" s="20">
        <f t="shared" si="7"/>
        <v>500</v>
      </c>
      <c r="N38" s="20">
        <f t="shared" si="7"/>
        <v>500</v>
      </c>
      <c r="O38" s="20">
        <f t="shared" si="7"/>
        <v>500</v>
      </c>
      <c r="P38" s="20">
        <f t="shared" si="7"/>
        <v>500</v>
      </c>
      <c r="Q38" s="20">
        <f t="shared" si="7"/>
        <v>500</v>
      </c>
    </row>
    <row r="39" spans="2:17" x14ac:dyDescent="0.2">
      <c r="C39" t="s">
        <v>57</v>
      </c>
      <c r="E39" s="18">
        <v>4800</v>
      </c>
      <c r="F39" s="20">
        <f t="shared" si="7"/>
        <v>400</v>
      </c>
      <c r="G39" s="20">
        <f t="shared" si="7"/>
        <v>400</v>
      </c>
      <c r="H39" s="20">
        <f t="shared" si="7"/>
        <v>400</v>
      </c>
      <c r="I39" s="20">
        <f t="shared" si="7"/>
        <v>400</v>
      </c>
      <c r="J39" s="20">
        <f t="shared" si="7"/>
        <v>400</v>
      </c>
      <c r="K39" s="20">
        <f t="shared" si="7"/>
        <v>400</v>
      </c>
      <c r="L39" s="20">
        <f t="shared" si="7"/>
        <v>400</v>
      </c>
      <c r="M39" s="20">
        <f t="shared" si="7"/>
        <v>400</v>
      </c>
      <c r="N39" s="20">
        <f t="shared" si="7"/>
        <v>400</v>
      </c>
      <c r="O39" s="20">
        <f t="shared" si="7"/>
        <v>400</v>
      </c>
      <c r="P39" s="20">
        <f t="shared" si="7"/>
        <v>400</v>
      </c>
      <c r="Q39" s="20">
        <f t="shared" si="7"/>
        <v>400</v>
      </c>
    </row>
    <row r="40" spans="2:17" x14ac:dyDescent="0.2">
      <c r="C40" t="s">
        <v>68</v>
      </c>
      <c r="E40" s="18">
        <v>4000</v>
      </c>
      <c r="F40" s="20">
        <f t="shared" si="7"/>
        <v>333.33333333333331</v>
      </c>
      <c r="G40" s="20">
        <f t="shared" si="7"/>
        <v>333.33333333333331</v>
      </c>
      <c r="H40" s="20">
        <f t="shared" si="7"/>
        <v>333.33333333333331</v>
      </c>
      <c r="I40" s="20">
        <f t="shared" si="7"/>
        <v>333.33333333333331</v>
      </c>
      <c r="J40" s="20">
        <f t="shared" si="7"/>
        <v>333.33333333333331</v>
      </c>
      <c r="K40" s="20">
        <f t="shared" si="7"/>
        <v>333.33333333333331</v>
      </c>
      <c r="L40" s="20">
        <f t="shared" si="7"/>
        <v>333.33333333333331</v>
      </c>
      <c r="M40" s="20">
        <f t="shared" si="7"/>
        <v>333.33333333333331</v>
      </c>
      <c r="N40" s="20">
        <f t="shared" si="7"/>
        <v>333.33333333333331</v>
      </c>
      <c r="O40" s="20">
        <f t="shared" si="7"/>
        <v>333.33333333333331</v>
      </c>
      <c r="P40" s="20">
        <f t="shared" si="7"/>
        <v>333.33333333333331</v>
      </c>
      <c r="Q40" s="20">
        <f t="shared" si="7"/>
        <v>333.33333333333331</v>
      </c>
    </row>
    <row r="41" spans="2:17" x14ac:dyDescent="0.2">
      <c r="C41" t="s">
        <v>66</v>
      </c>
      <c r="E41" s="18">
        <v>2400</v>
      </c>
      <c r="F41" s="20">
        <f t="shared" si="7"/>
        <v>200</v>
      </c>
      <c r="G41" s="20">
        <f t="shared" si="7"/>
        <v>200</v>
      </c>
      <c r="H41" s="20">
        <f t="shared" si="7"/>
        <v>200</v>
      </c>
      <c r="I41" s="20">
        <f t="shared" si="7"/>
        <v>200</v>
      </c>
      <c r="J41" s="20">
        <f t="shared" si="7"/>
        <v>200</v>
      </c>
      <c r="K41" s="20">
        <f t="shared" si="7"/>
        <v>200</v>
      </c>
      <c r="L41" s="20">
        <f t="shared" si="7"/>
        <v>200</v>
      </c>
      <c r="M41" s="20">
        <f t="shared" si="7"/>
        <v>200</v>
      </c>
      <c r="N41" s="20">
        <f t="shared" si="7"/>
        <v>200</v>
      </c>
      <c r="O41" s="20">
        <f t="shared" si="7"/>
        <v>200</v>
      </c>
      <c r="P41" s="20">
        <f t="shared" si="7"/>
        <v>200</v>
      </c>
      <c r="Q41" s="20">
        <f t="shared" si="7"/>
        <v>200</v>
      </c>
    </row>
    <row r="42" spans="2:17" x14ac:dyDescent="0.2">
      <c r="C42" t="s">
        <v>62</v>
      </c>
      <c r="E42" s="18">
        <v>1800</v>
      </c>
      <c r="F42" s="20">
        <f t="shared" si="7"/>
        <v>150</v>
      </c>
      <c r="G42" s="20">
        <f t="shared" si="7"/>
        <v>150</v>
      </c>
      <c r="H42" s="20">
        <f t="shared" si="7"/>
        <v>150</v>
      </c>
      <c r="I42" s="20">
        <f t="shared" si="7"/>
        <v>150</v>
      </c>
      <c r="J42" s="20">
        <f t="shared" si="7"/>
        <v>150</v>
      </c>
      <c r="K42" s="20">
        <f t="shared" si="7"/>
        <v>150</v>
      </c>
      <c r="L42" s="20">
        <f t="shared" si="7"/>
        <v>150</v>
      </c>
      <c r="M42" s="20">
        <f t="shared" si="7"/>
        <v>150</v>
      </c>
      <c r="N42" s="20">
        <f t="shared" si="7"/>
        <v>150</v>
      </c>
      <c r="O42" s="20">
        <f t="shared" si="7"/>
        <v>150</v>
      </c>
      <c r="P42" s="20">
        <f t="shared" si="7"/>
        <v>150</v>
      </c>
      <c r="Q42" s="20">
        <f t="shared" si="7"/>
        <v>150</v>
      </c>
    </row>
    <row r="43" spans="2:17" x14ac:dyDescent="0.2">
      <c r="C43" t="s">
        <v>58</v>
      </c>
      <c r="E43" s="18">
        <v>1440</v>
      </c>
      <c r="F43" s="20">
        <f t="shared" si="7"/>
        <v>120</v>
      </c>
      <c r="G43" s="20">
        <f t="shared" si="7"/>
        <v>120</v>
      </c>
      <c r="H43" s="20">
        <f t="shared" si="7"/>
        <v>120</v>
      </c>
      <c r="I43" s="20">
        <f t="shared" si="7"/>
        <v>120</v>
      </c>
      <c r="J43" s="20">
        <f t="shared" si="7"/>
        <v>120</v>
      </c>
      <c r="K43" s="20">
        <f t="shared" si="7"/>
        <v>120</v>
      </c>
      <c r="L43" s="20">
        <f t="shared" si="7"/>
        <v>120</v>
      </c>
      <c r="M43" s="20">
        <f t="shared" si="7"/>
        <v>120</v>
      </c>
      <c r="N43" s="20">
        <f t="shared" si="7"/>
        <v>120</v>
      </c>
      <c r="O43" s="20">
        <f t="shared" si="7"/>
        <v>120</v>
      </c>
      <c r="P43" s="20">
        <f t="shared" si="7"/>
        <v>120</v>
      </c>
      <c r="Q43" s="20">
        <f t="shared" si="7"/>
        <v>120</v>
      </c>
    </row>
    <row r="44" spans="2:17" x14ac:dyDescent="0.2">
      <c r="C44" t="s">
        <v>59</v>
      </c>
      <c r="E44" s="18">
        <v>1200</v>
      </c>
      <c r="F44" s="20">
        <f t="shared" si="7"/>
        <v>100</v>
      </c>
      <c r="G44" s="20">
        <f t="shared" si="7"/>
        <v>100</v>
      </c>
      <c r="H44" s="20">
        <f t="shared" si="7"/>
        <v>100</v>
      </c>
      <c r="I44" s="20">
        <f t="shared" si="7"/>
        <v>100</v>
      </c>
      <c r="J44" s="20">
        <f t="shared" si="7"/>
        <v>100</v>
      </c>
      <c r="K44" s="20">
        <f t="shared" si="7"/>
        <v>100</v>
      </c>
      <c r="L44" s="20">
        <f t="shared" si="7"/>
        <v>100</v>
      </c>
      <c r="M44" s="20">
        <f t="shared" si="7"/>
        <v>100</v>
      </c>
      <c r="N44" s="20">
        <f t="shared" si="7"/>
        <v>100</v>
      </c>
      <c r="O44" s="20">
        <f t="shared" si="7"/>
        <v>100</v>
      </c>
      <c r="P44" s="20">
        <f t="shared" si="7"/>
        <v>100</v>
      </c>
      <c r="Q44" s="20">
        <f t="shared" si="7"/>
        <v>100</v>
      </c>
    </row>
    <row r="45" spans="2:17" x14ac:dyDescent="0.2">
      <c r="C45" t="s">
        <v>64</v>
      </c>
      <c r="E45" s="18">
        <v>1200</v>
      </c>
      <c r="F45" s="20">
        <f t="shared" si="7"/>
        <v>100</v>
      </c>
      <c r="G45" s="20">
        <f t="shared" si="7"/>
        <v>100</v>
      </c>
      <c r="H45" s="20">
        <f t="shared" si="7"/>
        <v>100</v>
      </c>
      <c r="I45" s="20">
        <f t="shared" si="7"/>
        <v>100</v>
      </c>
      <c r="J45" s="20">
        <f t="shared" si="7"/>
        <v>100</v>
      </c>
      <c r="K45" s="20">
        <f t="shared" si="7"/>
        <v>100</v>
      </c>
      <c r="L45" s="20">
        <f t="shared" si="7"/>
        <v>100</v>
      </c>
      <c r="M45" s="20">
        <f t="shared" si="7"/>
        <v>100</v>
      </c>
      <c r="N45" s="20">
        <f t="shared" si="7"/>
        <v>100</v>
      </c>
      <c r="O45" s="20">
        <f t="shared" si="7"/>
        <v>100</v>
      </c>
      <c r="P45" s="20">
        <f t="shared" si="7"/>
        <v>100</v>
      </c>
      <c r="Q45" s="20">
        <f t="shared" si="7"/>
        <v>100</v>
      </c>
    </row>
    <row r="46" spans="2:17" x14ac:dyDescent="0.2">
      <c r="C46" t="s">
        <v>65</v>
      </c>
      <c r="E46" s="18">
        <v>960</v>
      </c>
      <c r="F46" s="20">
        <f t="shared" si="7"/>
        <v>80</v>
      </c>
      <c r="G46" s="20">
        <f t="shared" si="7"/>
        <v>80</v>
      </c>
      <c r="H46" s="20">
        <f t="shared" si="7"/>
        <v>80</v>
      </c>
      <c r="I46" s="20">
        <f t="shared" si="7"/>
        <v>80</v>
      </c>
      <c r="J46" s="20">
        <f t="shared" si="7"/>
        <v>80</v>
      </c>
      <c r="K46" s="20">
        <f t="shared" si="7"/>
        <v>80</v>
      </c>
      <c r="L46" s="20">
        <f t="shared" si="7"/>
        <v>80</v>
      </c>
      <c r="M46" s="20">
        <f t="shared" si="7"/>
        <v>80</v>
      </c>
      <c r="N46" s="20">
        <f t="shared" si="7"/>
        <v>80</v>
      </c>
      <c r="O46" s="20">
        <f t="shared" si="7"/>
        <v>80</v>
      </c>
      <c r="P46" s="20">
        <f t="shared" si="7"/>
        <v>80</v>
      </c>
      <c r="Q46" s="20">
        <f t="shared" si="7"/>
        <v>80</v>
      </c>
    </row>
    <row r="47" spans="2:17" x14ac:dyDescent="0.2">
      <c r="C47" t="s">
        <v>63</v>
      </c>
      <c r="E47" s="18">
        <v>960</v>
      </c>
      <c r="F47" s="20">
        <f t="shared" si="7"/>
        <v>80</v>
      </c>
      <c r="G47" s="20">
        <f t="shared" si="7"/>
        <v>80</v>
      </c>
      <c r="H47" s="20">
        <f t="shared" si="7"/>
        <v>80</v>
      </c>
      <c r="I47" s="20">
        <f t="shared" si="7"/>
        <v>80</v>
      </c>
      <c r="J47" s="20">
        <f t="shared" si="7"/>
        <v>80</v>
      </c>
      <c r="K47" s="20">
        <f t="shared" si="7"/>
        <v>80</v>
      </c>
      <c r="L47" s="20">
        <f t="shared" si="7"/>
        <v>80</v>
      </c>
      <c r="M47" s="20">
        <f t="shared" si="7"/>
        <v>80</v>
      </c>
      <c r="N47" s="20">
        <f t="shared" si="7"/>
        <v>80</v>
      </c>
      <c r="O47" s="20">
        <f t="shared" si="7"/>
        <v>80</v>
      </c>
      <c r="P47" s="20">
        <f t="shared" si="7"/>
        <v>80</v>
      </c>
      <c r="Q47" s="20">
        <f t="shared" si="7"/>
        <v>80</v>
      </c>
    </row>
    <row r="48" spans="2:17" x14ac:dyDescent="0.2">
      <c r="C48" t="s">
        <v>61</v>
      </c>
      <c r="E48" s="18">
        <v>600</v>
      </c>
      <c r="F48" s="20">
        <f t="shared" si="7"/>
        <v>50</v>
      </c>
      <c r="G48" s="20">
        <f t="shared" si="7"/>
        <v>50</v>
      </c>
      <c r="H48" s="20">
        <f t="shared" si="7"/>
        <v>50</v>
      </c>
      <c r="I48" s="20">
        <f t="shared" si="7"/>
        <v>50</v>
      </c>
      <c r="J48" s="20">
        <f t="shared" si="7"/>
        <v>50</v>
      </c>
      <c r="K48" s="20">
        <f t="shared" si="7"/>
        <v>50</v>
      </c>
      <c r="L48" s="20">
        <f t="shared" si="7"/>
        <v>50</v>
      </c>
      <c r="M48" s="20">
        <f t="shared" si="7"/>
        <v>50</v>
      </c>
      <c r="N48" s="20">
        <f t="shared" si="7"/>
        <v>50</v>
      </c>
      <c r="O48" s="20">
        <f t="shared" si="7"/>
        <v>50</v>
      </c>
      <c r="P48" s="20">
        <f t="shared" si="7"/>
        <v>50</v>
      </c>
      <c r="Q48" s="20">
        <f t="shared" si="7"/>
        <v>50</v>
      </c>
    </row>
    <row r="49" spans="2:17" x14ac:dyDescent="0.2">
      <c r="C49" t="s">
        <v>60</v>
      </c>
      <c r="E49" s="18">
        <v>540</v>
      </c>
      <c r="F49" s="20">
        <f t="shared" si="7"/>
        <v>45</v>
      </c>
      <c r="G49" s="20">
        <f t="shared" si="7"/>
        <v>45</v>
      </c>
      <c r="H49" s="20">
        <f t="shared" si="7"/>
        <v>45</v>
      </c>
      <c r="I49" s="20">
        <f t="shared" si="7"/>
        <v>45</v>
      </c>
      <c r="J49" s="20">
        <f t="shared" si="7"/>
        <v>45</v>
      </c>
      <c r="K49" s="20">
        <f t="shared" si="7"/>
        <v>45</v>
      </c>
      <c r="L49" s="20">
        <f t="shared" si="7"/>
        <v>45</v>
      </c>
      <c r="M49" s="20">
        <f t="shared" si="7"/>
        <v>45</v>
      </c>
      <c r="N49" s="20">
        <f t="shared" si="7"/>
        <v>45</v>
      </c>
      <c r="O49" s="20">
        <f t="shared" si="7"/>
        <v>45</v>
      </c>
      <c r="P49" s="20">
        <f t="shared" si="7"/>
        <v>45</v>
      </c>
      <c r="Q49" s="20">
        <f t="shared" si="7"/>
        <v>45</v>
      </c>
    </row>
    <row r="50" spans="2:17" x14ac:dyDescent="0.2">
      <c r="C50" t="s">
        <v>133</v>
      </c>
      <c r="E50" s="18">
        <f>SUM(E36:E49)</f>
        <v>47500</v>
      </c>
      <c r="F50" s="20">
        <f t="shared" si="7"/>
        <v>3958.3333333333335</v>
      </c>
      <c r="G50" s="20">
        <f t="shared" si="7"/>
        <v>3958.3333333333335</v>
      </c>
      <c r="H50" s="20">
        <f t="shared" si="7"/>
        <v>3958.3333333333335</v>
      </c>
      <c r="I50" s="20">
        <f t="shared" si="7"/>
        <v>3958.3333333333335</v>
      </c>
      <c r="J50" s="20">
        <f t="shared" si="7"/>
        <v>3958.3333333333335</v>
      </c>
      <c r="K50" s="20">
        <f t="shared" si="7"/>
        <v>3958.3333333333335</v>
      </c>
      <c r="L50" s="20">
        <f t="shared" si="7"/>
        <v>3958.3333333333335</v>
      </c>
      <c r="M50" s="20">
        <f t="shared" si="7"/>
        <v>3958.3333333333335</v>
      </c>
      <c r="N50" s="20">
        <f t="shared" si="7"/>
        <v>3958.3333333333335</v>
      </c>
      <c r="O50" s="20">
        <f t="shared" si="7"/>
        <v>3958.3333333333335</v>
      </c>
      <c r="P50" s="20">
        <f t="shared" si="7"/>
        <v>3958.3333333333335</v>
      </c>
      <c r="Q50" s="20">
        <f t="shared" si="7"/>
        <v>3958.3333333333335</v>
      </c>
    </row>
    <row r="52" spans="2:17" x14ac:dyDescent="0.2">
      <c r="C52" t="s">
        <v>77</v>
      </c>
      <c r="E52" s="20">
        <f>E30-E50</f>
        <v>42500</v>
      </c>
      <c r="F52" s="20">
        <f>F27-F50</f>
        <v>3541.6666666666665</v>
      </c>
      <c r="G52" s="20">
        <f>G27-G50</f>
        <v>3541.6666666666665</v>
      </c>
      <c r="H52" s="20">
        <f>H27-H50</f>
        <v>3541.6666666666665</v>
      </c>
      <c r="I52" s="20">
        <f>I27-I50</f>
        <v>3541.6666666666665</v>
      </c>
      <c r="J52" s="20">
        <f>J27-J50</f>
        <v>3541.6666666666665</v>
      </c>
      <c r="K52" s="20">
        <f>K27-K50</f>
        <v>3541.6666666666665</v>
      </c>
      <c r="L52" s="20">
        <f>L27-L50</f>
        <v>3541.6666666666665</v>
      </c>
      <c r="M52" s="20">
        <f>M27-M50</f>
        <v>3541.6666666666665</v>
      </c>
      <c r="N52" s="20">
        <f>N27-N50</f>
        <v>3541.6666666666665</v>
      </c>
      <c r="O52" s="20">
        <f>O27-O50</f>
        <v>3541.6666666666665</v>
      </c>
      <c r="P52" s="20">
        <f>P27-P50</f>
        <v>3541.6666666666665</v>
      </c>
      <c r="Q52" s="20">
        <f>Q27-Q50</f>
        <v>3541.6666666666665</v>
      </c>
    </row>
    <row r="54" spans="2:17" x14ac:dyDescent="0.2">
      <c r="B54" t="s">
        <v>135</v>
      </c>
    </row>
    <row r="55" spans="2:17" x14ac:dyDescent="0.2">
      <c r="C55" t="s">
        <v>67</v>
      </c>
      <c r="E55" s="18">
        <v>6000</v>
      </c>
      <c r="F55" s="20">
        <f>$E55/12</f>
        <v>500</v>
      </c>
      <c r="G55" s="20">
        <f>$E55/12</f>
        <v>500</v>
      </c>
      <c r="H55" s="20">
        <f>$E55/12</f>
        <v>500</v>
      </c>
      <c r="I55" s="20">
        <f>$E55/12</f>
        <v>500</v>
      </c>
      <c r="J55" s="20">
        <f>$E55/12</f>
        <v>500</v>
      </c>
      <c r="K55" s="20">
        <f>$E55/12</f>
        <v>500</v>
      </c>
      <c r="L55" s="20">
        <f>$E55/12</f>
        <v>500</v>
      </c>
      <c r="M55" s="20">
        <f>$E55/12</f>
        <v>500</v>
      </c>
      <c r="N55" s="20">
        <f>$E55/12</f>
        <v>500</v>
      </c>
      <c r="O55" s="20">
        <f>$E55/12</f>
        <v>500</v>
      </c>
      <c r="P55" s="20">
        <f>$E55/12</f>
        <v>500</v>
      </c>
      <c r="Q55" s="20">
        <f>$E55/12</f>
        <v>500</v>
      </c>
    </row>
    <row r="56" spans="2:17" x14ac:dyDescent="0.2">
      <c r="E56" s="18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spans="2:17" x14ac:dyDescent="0.2">
      <c r="B57" t="s">
        <v>136</v>
      </c>
    </row>
    <row r="58" spans="2:17" x14ac:dyDescent="0.2">
      <c r="C58" t="s">
        <v>137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Leow, Jit Corn</cp:lastModifiedBy>
  <dcterms:created xsi:type="dcterms:W3CDTF">2025-12-05T08:38:51Z</dcterms:created>
  <dcterms:modified xsi:type="dcterms:W3CDTF">2025-12-05T12:12:18Z</dcterms:modified>
</cp:coreProperties>
</file>